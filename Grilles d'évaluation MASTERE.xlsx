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supdevinci.sharepoint.com/teams/FilireITSupdeVinci/Documents partages/Pédagogie/Projets d'étude 25-26/M1-M2/"/>
    </mc:Choice>
  </mc:AlternateContent>
  <xr:revisionPtr revIDLastSave="1758" documentId="8_{2B866693-31E6-41E5-8150-C76B7E509F61}" xr6:coauthVersionLast="47" xr6:coauthVersionMax="47" xr10:uidLastSave="{C5CEA6D6-8E5F-439E-905C-D040E602EBD2}"/>
  <bookViews>
    <workbookView xWindow="-28920" yWindow="-1245" windowWidth="29040" windowHeight="16440" firstSheet="2" activeTab="7" xr2:uid="{804B003C-F961-1D40-8CEE-B5385C8B5A0C}"/>
  </bookViews>
  <sheets>
    <sheet name="Guide" sheetId="4" state="hidden" r:id="rId1"/>
    <sheet name="MODE D'EMPLOI" sheetId="13" r:id="rId2"/>
    <sheet name="DATA &amp; RECAP" sheetId="14" r:id="rId3"/>
    <sheet name="DOSSIER M1 GRP 1" sheetId="12" r:id="rId4"/>
    <sheet name="VIDEO M1 GRP 1" sheetId="16" r:id="rId5"/>
    <sheet name="DOSSIER M2 GRP 1" sheetId="15" r:id="rId6"/>
    <sheet name="VIDEO M2 GRP1" sheetId="17" r:id="rId7"/>
    <sheet name="DOSSIER TECHNIQUE M1" sheetId="11" r:id="rId8"/>
    <sheet name="DOSSIER TECHNIQUE M2" sheetId="7" r:id="rId9"/>
    <sheet name="VIDEO M1 &amp; M2" sheetId="2" r:id="rId10"/>
    <sheet name="Blocs et Competences" sheetId="10" state="hidden" r:id="rId11"/>
    <sheet name="Pts évalués par blocs" sheetId="9" state="hidden" r:id="rId12"/>
    <sheet name="Pour rappel - 2425" sheetId="1" state="hidden" r:id="rId13"/>
    <sheet name="LISTE ETUDIANT" sheetId="5" state="hidden" r:id="rId14"/>
    <sheet name="CLASSE" sheetId="6" state="hidden"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2" i="11" l="1"/>
  <c r="C43" i="7"/>
  <c r="M12" i="15"/>
  <c r="M11" i="15"/>
  <c r="M12" i="12"/>
  <c r="M11" i="12"/>
  <c r="M10" i="12"/>
  <c r="M9" i="12"/>
  <c r="L8" i="12"/>
  <c r="M8" i="12"/>
  <c r="G20" i="16" l="1"/>
  <c r="F20" i="16"/>
  <c r="M11" i="16" s="1"/>
  <c r="E20" i="16"/>
  <c r="M10" i="16" s="1"/>
  <c r="D20" i="16"/>
  <c r="M9" i="16" s="1"/>
  <c r="C20" i="16"/>
  <c r="G20" i="17"/>
  <c r="F20" i="17"/>
  <c r="E20" i="17"/>
  <c r="M10" i="17" s="1"/>
  <c r="D20" i="17"/>
  <c r="C20" i="17"/>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6" i="14"/>
  <c r="M12" i="17"/>
  <c r="M11" i="17"/>
  <c r="M9" i="17"/>
  <c r="M8" i="17"/>
  <c r="L8" i="17"/>
  <c r="M8" i="16"/>
  <c r="B17" i="2"/>
  <c r="M12" i="16"/>
  <c r="L8" i="16"/>
  <c r="G11" i="15"/>
  <c r="F11" i="15"/>
  <c r="E11" i="15"/>
  <c r="D11" i="15"/>
  <c r="C11" i="15"/>
  <c r="G59" i="15"/>
  <c r="F59" i="15"/>
  <c r="E59" i="15"/>
  <c r="D59" i="15"/>
  <c r="C59" i="15"/>
  <c r="G52" i="15"/>
  <c r="F52" i="15"/>
  <c r="E52" i="15"/>
  <c r="D52" i="15"/>
  <c r="C52" i="15"/>
  <c r="G43" i="15"/>
  <c r="F43" i="15"/>
  <c r="E43" i="15"/>
  <c r="D43" i="15"/>
  <c r="C43" i="15"/>
  <c r="G23" i="15"/>
  <c r="F23" i="15"/>
  <c r="E23" i="15"/>
  <c r="D23" i="15"/>
  <c r="C23" i="15"/>
  <c r="L8" i="15"/>
  <c r="D41" i="12"/>
  <c r="E41" i="12"/>
  <c r="F41" i="12"/>
  <c r="G41" i="12"/>
  <c r="C41" i="12"/>
  <c r="M10" i="15" l="1"/>
  <c r="M8" i="15"/>
  <c r="M9" i="15"/>
  <c r="G57" i="12"/>
  <c r="F57" i="12"/>
  <c r="E57" i="12"/>
  <c r="D57" i="12"/>
  <c r="C57" i="12"/>
  <c r="G50" i="12"/>
  <c r="F50" i="12"/>
  <c r="E50" i="12"/>
  <c r="D50" i="12"/>
  <c r="C50" i="12"/>
  <c r="G22" i="12"/>
  <c r="F22" i="12"/>
  <c r="E22" i="12"/>
  <c r="D22" i="12"/>
  <c r="C22" i="12"/>
  <c r="G10" i="12"/>
  <c r="F10" i="12"/>
  <c r="E10" i="12"/>
  <c r="D10" i="12"/>
  <c r="C10" i="12"/>
  <c r="E2" i="9"/>
  <c r="G4" i="9" l="1"/>
  <c r="E4" i="9"/>
  <c r="C4" i="9"/>
  <c r="F7" i="9"/>
  <c r="F6" i="9"/>
  <c r="F5" i="9"/>
  <c r="G6" i="9"/>
  <c r="G5" i="9"/>
  <c r="E7" i="9"/>
  <c r="E6" i="9"/>
  <c r="E5" i="9"/>
  <c r="C7" i="9"/>
  <c r="C6" i="9"/>
  <c r="B7" i="9"/>
  <c r="B6" i="9"/>
  <c r="C5" i="9"/>
  <c r="B5" i="9"/>
  <c r="B4" i="9"/>
  <c r="F3" i="9"/>
  <c r="E3" i="9"/>
  <c r="C3" i="9"/>
  <c r="D2" i="9"/>
  <c r="B3" i="9"/>
  <c r="B2" i="9"/>
  <c r="C2" i="9"/>
  <c r="C61" i="1" l="1"/>
  <c r="B61" i="1"/>
  <c r="C46" i="1"/>
  <c r="C31" i="1"/>
  <c r="A1" i="6" a="1"/>
  <c r="A1" i="6" s="1"/>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26" i="5"/>
  <c r="C3" i="5"/>
  <c r="C4" i="5"/>
  <c r="C5" i="5"/>
  <c r="C6" i="5"/>
  <c r="C7" i="5"/>
  <c r="C8" i="5"/>
  <c r="C9" i="5"/>
  <c r="C10" i="5"/>
  <c r="C11" i="5"/>
  <c r="C12" i="5"/>
  <c r="C13" i="5"/>
  <c r="C14" i="5"/>
  <c r="C15" i="5"/>
  <c r="C16" i="5"/>
  <c r="C17" i="5"/>
  <c r="C18" i="5"/>
  <c r="C19" i="5"/>
  <c r="C20" i="5"/>
  <c r="C21" i="5"/>
  <c r="C22" i="5"/>
  <c r="C23" i="5"/>
  <c r="C24" i="5"/>
  <c r="C25"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2" i="5"/>
  <c r="B16" i="1" l="1"/>
  <c r="B31" i="1"/>
  <c r="G60" i="1" s="1"/>
  <c r="B46" i="1"/>
  <c r="G61" i="1" s="1"/>
  <c r="C52" i="2"/>
  <c r="G62" i="1" l="1"/>
  <c r="C51" i="2"/>
  <c r="C5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<sst xmlns="http://schemas.openxmlformats.org/spreadsheetml/2006/main" count="4168" uniqueCount="1576">
  <si>
    <t>ALITI Syrine</t>
  </si>
  <si>
    <t>Selection de la classe</t>
  </si>
  <si>
    <t>MSI 5-25 DO A ISI PARIS</t>
  </si>
  <si>
    <t>BELKACEMI Cylia</t>
  </si>
  <si>
    <t>Nom du groupe</t>
  </si>
  <si>
    <t>BANZAI</t>
  </si>
  <si>
    <t>DANTU Nathan</t>
  </si>
  <si>
    <t>Mode d'emploi</t>
  </si>
  <si>
    <t>MASTERE DEV/DATA/CS/DO  - Les Mastères CPIT sont sur une autre grille</t>
  </si>
  <si>
    <t>ONGLET DATA &amp; RECAP</t>
  </si>
  <si>
    <t>1. Indiquer le nom de la classe</t>
  </si>
  <si>
    <t>2. Compléter la liste des étudiants</t>
  </si>
  <si>
    <t>3. Reporter les notes des dossiers et vidéos dans la colonne adéquate</t>
  </si>
  <si>
    <t>EVAL DES GROUPES</t>
  </si>
  <si>
    <t>Dupliquer l'onglet "DOSSIER M1 GRP 1" ou "VIDEO M1 GRP1" en fonction du nombre de groupe en mastère 1</t>
  </si>
  <si>
    <t>Faire l'équivalent en Mastère 2 si vous corrigez des mastères 2</t>
  </si>
  <si>
    <t>Compléter les colonnes "points" en utilisant la liste déroulante</t>
  </si>
  <si>
    <t>Note de groupe</t>
  </si>
  <si>
    <t>Note individuelle</t>
  </si>
  <si>
    <t xml:space="preserve">          Compléter les notes de groupe pour  l'etudiant 1</t>
  </si>
  <si>
    <t xml:space="preserve">          reportez ensuite sur les autres étudiants</t>
  </si>
  <si>
    <t>Classe:</t>
  </si>
  <si>
    <t>*Indiquer le nom de classe</t>
  </si>
  <si>
    <t>*A compléter afin de récupérer la liste des étudiants dans les grilles</t>
  </si>
  <si>
    <t>ETUDIANTS</t>
  </si>
  <si>
    <t>NOTES</t>
  </si>
  <si>
    <t>TOTAL</t>
  </si>
  <si>
    <t>Groupe Projet</t>
  </si>
  <si>
    <t>Nom</t>
  </si>
  <si>
    <t>Prénom</t>
  </si>
  <si>
    <t>DOSSIER TECHNIQUE</t>
  </si>
  <si>
    <t>VIDEO</t>
  </si>
  <si>
    <t>DOSSIER &amp; VIDEO</t>
  </si>
  <si>
    <t>Ref Péda</t>
  </si>
  <si>
    <t>HERROU</t>
  </si>
  <si>
    <t>Christophe</t>
  </si>
  <si>
    <t>NUNES</t>
  </si>
  <si>
    <t>Marc</t>
  </si>
  <si>
    <t>METRAL</t>
  </si>
  <si>
    <t>Jérôme</t>
  </si>
  <si>
    <t>GRAVELINE</t>
  </si>
  <si>
    <t>Timothée</t>
  </si>
  <si>
    <t>NOM GROUPE PROJET :</t>
  </si>
  <si>
    <t>REF PEDA</t>
  </si>
  <si>
    <t xml:space="preserve">Etudiant 1 </t>
  </si>
  <si>
    <t>Etudiant 2</t>
  </si>
  <si>
    <t>Etudiant 3</t>
  </si>
  <si>
    <t>Etudiant 4</t>
  </si>
  <si>
    <t>Etudiant 5</t>
  </si>
  <si>
    <t>Management de projet</t>
  </si>
  <si>
    <t>Critères d'évaluation</t>
  </si>
  <si>
    <t>Points</t>
  </si>
  <si>
    <t>NOM</t>
  </si>
  <si>
    <t>NOTE DOSSIER TECHNIQUE</t>
  </si>
  <si>
    <t>Justification de la méthodologie de réalisation et d'organisation équipe (cohérence avec le projet)</t>
  </si>
  <si>
    <t>Etudiant 1</t>
  </si>
  <si>
    <t>Commentaire</t>
  </si>
  <si>
    <t>Total : 5 points</t>
  </si>
  <si>
    <t>Planification détaillée</t>
  </si>
  <si>
    <t>Cohérence de la planification globale (adéquation des étapes aux objectifs)</t>
  </si>
  <si>
    <t>Décomposition des tâches en sous-tâches détaillées (conception, développement, tests, déploiement)</t>
  </si>
  <si>
    <t>Clarté et précision du calendrier (dates de début, fin, durée des tâches)</t>
  </si>
  <si>
    <t>Gestion des dépendances entre les tâches (identification et gestion des relations entre les tâches)</t>
  </si>
  <si>
    <t>Gestion des risques identifiés (identification, évaluation et stratégies de mitigation)</t>
  </si>
  <si>
    <t>Utilisation d'outils de planification (diagramme de Gantt ou autre outil pertinent)</t>
  </si>
  <si>
    <t>Inclusion de jalons clés (milestones) pour valider les étapes importantes du projet</t>
  </si>
  <si>
    <t>Total : 35 points</t>
  </si>
  <si>
    <t>Solution Technique</t>
  </si>
  <si>
    <t>Précision technique du livrable final (exactitude des informations techniques fournies)</t>
  </si>
  <si>
    <t>Cohérence de la solution proposée (pertinence des choix techniques par rapport aux objectifs)</t>
  </si>
  <si>
    <t>Qualité de la justification des choix techniques</t>
  </si>
  <si>
    <t>Mise place d'une politique de veille</t>
  </si>
  <si>
    <t>Innovation de la solution</t>
  </si>
  <si>
    <t>Cohérence du PRA/PCA</t>
  </si>
  <si>
    <t>Qualité des schémas techniques ou diagrammes inclus dans le livrable final.</t>
  </si>
  <si>
    <t>Rigueur des tests effectués sur le produit final (exhaustivité et qualité des résultats présentés)</t>
  </si>
  <si>
    <t>Integration de notions GreenIT</t>
  </si>
  <si>
    <t>Prise en compte des normes et obligations réglementaires</t>
  </si>
  <si>
    <t>Prise en compte des personnes en situation de handicap</t>
  </si>
  <si>
    <t>Documentation utilisateur fournie dans le livrable final (clarté et exhaustivité pour l’utilisateur final)</t>
  </si>
  <si>
    <t>Inclusion d’une analyse critique sur les limites techniques rencontrées durant le projet.</t>
  </si>
  <si>
    <t>Gouvernance et vision d’évolution des systèmes : Inclusion d’une réflexion sur l’avenir de l’infrastructure ou des applications livrées, accompagnée d’une roadmap pour leur maintenance ou leur évolution.</t>
  </si>
  <si>
    <t>Total : 78 points</t>
  </si>
  <si>
    <t>Analyse dynamique projet</t>
  </si>
  <si>
    <t>Réflexion personnelle sur les défis rencontrés</t>
  </si>
  <si>
    <t>Capacité à identifier ses forces et faiblesses</t>
  </si>
  <si>
    <t>Analyse des compétences développées</t>
  </si>
  <si>
    <t>Proposition d'axes d'amélioration pour de futurs projets</t>
  </si>
  <si>
    <t>Total : 8 points</t>
  </si>
  <si>
    <t>Respect du cadre &amp; Bonus</t>
  </si>
  <si>
    <t>Professionnalisme du livrable final soumis (présentation générale, organisation, mise en page)</t>
  </si>
  <si>
    <t>Le groupe est allé au-delà des demandes et/ou a intégré les propositions bonus</t>
  </si>
  <si>
    <t>Total : 15 points</t>
  </si>
  <si>
    <t>Vidéo</t>
  </si>
  <si>
    <t>NOTE VIDEO</t>
  </si>
  <si>
    <t>Structure de la video</t>
  </si>
  <si>
    <t>Contexte et objectifs du projet : Le groupe présente clairement sa compréhension globale du projet et expose les axes choisis pour traiter l’ensemble des enjeux.</t>
  </si>
  <si>
    <t>Qualité de la démonstration du MVP (fonctionnalités opérationnelles, adéquation aux attentes du projet)</t>
  </si>
  <si>
    <t>Qualité visuelle et technique de la vidéo (Esthétique, cohérence visuelle, et adéquation au discours.)</t>
  </si>
  <si>
    <t>Originalité des solutions proposées dans le MVP (innovation par rapport aux standards du marché ou aux attentes initiales)</t>
  </si>
  <si>
    <t>Impact potentiel du MVP : Capacité du projet à convaincre les utilisateurs finaux en répondant aux besoins réels.</t>
  </si>
  <si>
    <t>Aller plus loin que l'attendu : Capacité du projet à dépasser les attentes initiales et apporter une valeur ajoutée supplémentaire.</t>
  </si>
  <si>
    <t>Fluidité</t>
  </si>
  <si>
    <t xml:space="preserve"> </t>
  </si>
  <si>
    <t>Pertinence des informations</t>
  </si>
  <si>
    <t>Capacité à capter l'attention</t>
  </si>
  <si>
    <t>Capacité à convaincre de la pertinance de la solution</t>
  </si>
  <si>
    <t>Total : 64 points</t>
  </si>
  <si>
    <t>Gestion des coûts cohérente avec les objectifs et contraintes de l'entreprise</t>
  </si>
  <si>
    <t>Mise en place d'une politique de veille (CPIT)</t>
  </si>
  <si>
    <t>Total : 93 points</t>
  </si>
  <si>
    <t>Notation solo</t>
  </si>
  <si>
    <t>Notation groupe</t>
  </si>
  <si>
    <t>PTS MAX</t>
  </si>
  <si>
    <t>Blocs 40147</t>
  </si>
  <si>
    <t>Blocs 40165 cyber</t>
  </si>
  <si>
    <t>Blocs 40165 devops</t>
  </si>
  <si>
    <t>Blocs 40166 Dev</t>
  </si>
  <si>
    <t>Blocs 40167 Data</t>
  </si>
  <si>
    <t>Blocs 40168 CPIT</t>
  </si>
  <si>
    <t>BC01</t>
  </si>
  <si>
    <t>2</t>
  </si>
  <si>
    <t>3</t>
  </si>
  <si>
    <t>Programme de conduite du changement cohérent et argumenté (CPIT)</t>
  </si>
  <si>
    <t>BC03</t>
  </si>
  <si>
    <t>1</t>
  </si>
  <si>
    <r>
      <t>Cohérence de la planification globale</t>
    </r>
    <r>
      <rPr>
        <sz val="10.5"/>
        <color theme="1"/>
        <rFont val="Roboto"/>
      </rPr>
      <t> (adéquation des étapes aux objectifs)</t>
    </r>
  </si>
  <si>
    <t>4</t>
  </si>
  <si>
    <r>
      <t>Décomposition des tâches en sous-tâches détaillées</t>
    </r>
    <r>
      <rPr>
        <sz val="10.5"/>
        <color theme="1"/>
        <rFont val="Roboto"/>
      </rPr>
      <t> (conception, développement, tests, déploiement)</t>
    </r>
  </si>
  <si>
    <r>
      <t>Clarté et précision du calendrier</t>
    </r>
    <r>
      <rPr>
        <sz val="10.5"/>
        <color theme="1"/>
        <rFont val="Roboto"/>
      </rPr>
      <t> (dates de début, fin, durée des tâches)</t>
    </r>
  </si>
  <si>
    <r>
      <t>Gestion des dépendances entre les tâches</t>
    </r>
    <r>
      <rPr>
        <sz val="10.5"/>
        <color theme="1"/>
        <rFont val="Roboto"/>
      </rPr>
      <t> (identification et gestion des relations entre les tâches)</t>
    </r>
  </si>
  <si>
    <r>
      <t>Gestion des risques identifiés</t>
    </r>
    <r>
      <rPr>
        <sz val="10.5"/>
        <color theme="1"/>
        <rFont val="Roboto"/>
      </rPr>
      <t> (identification, évaluation et stratégies de mitigation)</t>
    </r>
  </si>
  <si>
    <t>BC02</t>
  </si>
  <si>
    <r>
      <t>Utilisation d'outils de planification</t>
    </r>
    <r>
      <rPr>
        <sz val="10.5"/>
        <color theme="1"/>
        <rFont val="Roboto"/>
      </rPr>
      <t> (diagramme de Gantt ou autre outil pertinent)</t>
    </r>
  </si>
  <si>
    <r>
      <t>Inclusion de jalons clés (milestones)</t>
    </r>
    <r>
      <rPr>
        <sz val="10.5"/>
        <color theme="1"/>
        <rFont val="Roboto"/>
      </rPr>
      <t> pour valider les étapes importantes du projet</t>
    </r>
  </si>
  <si>
    <r>
      <t>Précision technique du livrable final</t>
    </r>
    <r>
      <rPr>
        <sz val="10.5"/>
        <color theme="1"/>
        <rFont val="Roboto"/>
      </rPr>
      <t> (exactitude des informations techniques fournies)</t>
    </r>
  </si>
  <si>
    <r>
      <t xml:space="preserve">BC03/BC04 </t>
    </r>
    <r>
      <rPr>
        <sz val="8"/>
        <color theme="1"/>
        <rFont val="Aptos Narrow"/>
        <family val="2"/>
        <scheme val="minor"/>
      </rPr>
      <t>sauf CPIT</t>
    </r>
  </si>
  <si>
    <t>5</t>
  </si>
  <si>
    <t>--</t>
  </si>
  <si>
    <t>BC03/BC04</t>
  </si>
  <si>
    <r>
      <t xml:space="preserve">BC02
</t>
    </r>
    <r>
      <rPr>
        <sz val="8"/>
        <color theme="1"/>
        <rFont val="Aptos Narrow"/>
        <family val="2"/>
        <scheme val="minor"/>
      </rPr>
      <t>sauf CPIT</t>
    </r>
  </si>
  <si>
    <r>
      <t>Documentation utilisateur fournie dans le livrable final</t>
    </r>
    <r>
      <rPr>
        <sz val="10.5"/>
        <color theme="1"/>
        <rFont val="Roboto"/>
      </rPr>
      <t> (clarté et exhaustivité pour l’utilisateur final)</t>
    </r>
  </si>
  <si>
    <r>
      <t>Rigueur des tests effectués sur le produit final</t>
    </r>
    <r>
      <rPr>
        <sz val="10.5"/>
        <color theme="1"/>
        <rFont val="Roboto"/>
      </rPr>
      <t> (exhaustivité et qualité des résultats présentés)</t>
    </r>
  </si>
  <si>
    <t>Respect du cadre</t>
  </si>
  <si>
    <r>
      <t>Professionnalisme du livrable final soumis</t>
    </r>
    <r>
      <rPr>
        <sz val="10.5"/>
        <color theme="1"/>
        <rFont val="Roboto"/>
      </rPr>
      <t> (présentation générale, organisation, mise en page)</t>
    </r>
  </si>
  <si>
    <t>(3/4 selon l'option)</t>
  </si>
  <si>
    <t>Bonus</t>
  </si>
  <si>
    <t xml:space="preserve">Rendu du dossier : Un fichier Zip contenant un rendu par membre du groupe.
Nomenclature du zip : PE_2526_codepromo(ex : M1DEVA)_nometudiant1_nometudiant2_nom(etc…).zip
Nomenclature des documents apprenants : PE-2526_codepromo_NomPrenomEtudiant.pdf
</t>
  </si>
  <si>
    <t>Plan</t>
  </si>
  <si>
    <t>- Présentation de l'entreprise et de l'équipe projet</t>
  </si>
  <si>
    <t>- Analyse de la problématique et introduction à la solution proposée</t>
  </si>
  <si>
    <t>- Organisation et méthodologies appliquées</t>
  </si>
  <si>
    <t>- Présentation de la solution technique</t>
  </si>
  <si>
    <t>- Perpectives d'évolution</t>
  </si>
  <si>
    <t xml:space="preserve">- Annexes : </t>
  </si>
  <si>
    <t xml:space="preserve">   - Documentation utilisateur</t>
  </si>
  <si>
    <t xml:space="preserve">   - Analyse personnelle</t>
  </si>
  <si>
    <r>
      <t xml:space="preserve">Contexte et objectifs du projet : </t>
    </r>
    <r>
      <rPr>
        <sz val="10.5"/>
        <color theme="1"/>
        <rFont val="Roboto"/>
      </rPr>
      <t>Le groupe présente clairement sa compréhension globale du projet et expose les axes choisis pour traiter l’ensemble des enjeux.</t>
    </r>
  </si>
  <si>
    <t>3/4</t>
  </si>
  <si>
    <r>
      <t>Qualité de la démonstration du MVP</t>
    </r>
    <r>
      <rPr>
        <sz val="10.5"/>
        <color theme="1"/>
        <rFont val="Roboto"/>
      </rPr>
      <t> (fonctionnalités opérationnelles, adéquation aux attentes du projet)</t>
    </r>
  </si>
  <si>
    <r>
      <t>Originalité des solutions proposées dans le MVP</t>
    </r>
    <r>
      <rPr>
        <sz val="10.5"/>
        <color theme="1"/>
        <rFont val="Roboto"/>
      </rPr>
      <t> (innovation par rapport aux standards du marché ou aux attentes initiales)</t>
    </r>
  </si>
  <si>
    <r>
      <t xml:space="preserve">Impact potentiel du MVP : </t>
    </r>
    <r>
      <rPr>
        <sz val="10.5"/>
        <color theme="1"/>
        <rFont val="Roboto"/>
      </rPr>
      <t>Capacité du projet à convaincre les utilisateurs finaux en répondant aux besoins réels.</t>
    </r>
  </si>
  <si>
    <t>Rendu de la video en groupe, avec identification claire des parties de chacun. 
Incrustation video de la personne qui présente et affichage de son nom
Elle est un support de présentation du dossier technique, qui sera remis au client
Rendu du dossier :
Solution 1
Un fichier Zip contenant la video du groupe.
Nomenclature du zip : PE_2526_codepromo(ex : M1DEVA)_nometudiant1_nometudiant2_nom(etc…).zip
Nomenclature de la video : PE-2526_codepromo_NomPrenomEtudiant.mp4
OU
Solution 2
Un document TXT contenant le lien vers la video du groupe. 
A heberger sur youtube en mode Non Répertoriée. Toute autre plateforme ne sera pas validée.
Nomenclature du document : PE_2526_codepromo(ex : M1DEVA)_nometudiant1_nometudiant2_nom(etc…).txt</t>
  </si>
  <si>
    <t>Plan :
- Présentation de l'entreprise et de l'équipe projet
- Analyse de la problématique et introduction à la solution proposée
- Organisation et méthodologies appliquées
- Présentation de la solution technique</t>
  </si>
  <si>
    <t>NOTE TOTALE DU BLOC 1</t>
  </si>
  <si>
    <t>NOTE TOTALE DU BLOC 2</t>
  </si>
  <si>
    <t>NOTE TOTALE</t>
  </si>
  <si>
    <t>BLOCS ISITECH 40147</t>
  </si>
  <si>
    <t>Compétences mises en œuvre dans le cadre du projet d'étude</t>
  </si>
  <si>
    <t>BC01 - Manager, gérer et conduire des projets informatiques</t>
  </si>
  <si>
    <t>Élaborer un modèle financier complet pour prendre en compte les coûts de développement et les sources de revenus du projet informatique.</t>
  </si>
  <si>
    <t>Identifier les étapes clés de formation d'un projet et définir les objectifs et les acteurs impliqués, en utilisant des méthodes adaptées de gestion de projet afin d’organiser et coordonner sa progression efficace.</t>
  </si>
  <si>
    <t>Concevoir les budgets nécessaires à la réalisation du projet, évaluer sa rentabilité financière, et prendre en compte les aspects contractuels et juridiques pour garantir sa conformité.</t>
  </si>
  <si>
    <t>Évaluer les risques inhérents au projet et choisir une méthodologie de réalisation adaptée, en mettant en place des outils pratiques pour les anticiper et les gérer efficacement.</t>
  </si>
  <si>
    <t>Identifier et suivre la méthodologie du modèle de gestion de projet (agile, scrum, cascade, en V), en planifiant avec précision les différentes étapes, en garantissant un suivi minutieux des jalons et en gérant la livraison conforme des livrables prévus afin de maintenir une progression efficace et cohérente du projet.</t>
  </si>
  <si>
    <t>Établir une communication claire et transparente avec les différents acteurs impliqués, en tenant compte des personnes en situation de handicap et en favorisant la collaboration et en assurant une compréhension mutuelle des objectifs et des enjeux, afin de garantir la réalisation des objectifs définis par l'entreprise en matière de gestion des leads.</t>
  </si>
  <si>
    <t>BC02 - Auditer et piloter la stratégie du système d'information</t>
  </si>
  <si>
    <t>Réaliser un audit du système d'information en utilisant des méthodologies telles que l'analyse des risques, dans le but d'identifier les vulnérabilités et les menaces du système d’information.</t>
  </si>
  <si>
    <t>Mettre en place des processus et des systèmes de contrôle afin de garantir le respect des réglementations et des normes à utiliser</t>
  </si>
  <si>
    <t>Concevoir des plans détaillés qui spécifient les actions à entreprendre en cas d'incident majeur, en utilisant des procédures en cas de sinistre pour assurer la continuité opérationnelle du système d’information en tenant compte des personnes en situation de handicap</t>
  </si>
  <si>
    <t>Développer une vision stratégique alignée sur les objectifs organisationnels, en identifiant les besoins en matière de système d'information et en définissant des orientations stratégiques pour soutenir la croissance et l'innovation de l'entreprise</t>
  </si>
  <si>
    <t>Superviser et coordonner toutes les activités nécessaires à la mise en œuvre de la stratégie du système d'information, en tenant compte des personnes en situation de handicap, en assurant l'alignement avec les objectifs organisationnels, en supervisant les projets et initiatives clés, en coordonnant les ressources et en surveillant les performances pour garantir la réalisation des bénéfices attendus et l'atteinte des objectifs stratégiques.</t>
  </si>
  <si>
    <t>BC03 - (option) Concevoir et mettre en œuvre un système d’information sécurisé, virtuel et cloud</t>
  </si>
  <si>
    <t>Concevoir les architectures réseaux d'entreprises en utilisant des outils de gestion et de surveillance réseau et en respectant les normes en vigueur dans le but d'assurer leur fonctionnement optimal et garantir la sécurité des communications</t>
  </si>
  <si>
    <t>Concevoir et implémenter la sécurité des données et des périphériques sur le réseau afin de garantir leur intégrité en utilisant des dispositifs de protection.</t>
  </si>
  <si>
    <t>Surveiller et analyser les menaces de cybersécurité afin de détecter les intrusions en respectant la politiques et les procédures de sécurité de l’entreprise.</t>
  </si>
  <si>
    <t>Mettre en œuvre et surveiller des solutions de sécurité robustes hébergées sur le cloud en utilisant des techniques de gestion des identités et des accès (Authentification multifactorielle, gestion des clés et des certificats) pour protéger les données, les applications et les infrastructures de l’entreprise.</t>
  </si>
  <si>
    <t>Concevoir et déployer des postes de travail virtuels basés sur des systèmes d’exploitation professionnel, en tenant compte des personnes en situation de handicap, en utilisant des concepts avancés de virtualisation de bureau, afin d'améliorer la flexibilité opérationnelle, renforcer la sécurité des données et simplifier la gestion des ressources informatiques de l'entreprise.</t>
  </si>
  <si>
    <t>Concevoir, et mettre en œuvre une architecture virtualisée hautement disponible, en intégrant des politiques de sauvegarde et de restauration appropriées pour garantir la résilience de l'infrastructure informatique face aux incidents et aux pannes.</t>
  </si>
  <si>
    <t>Automatiser le déploiement et la gestion d'infrastructures informatiques à l'aide d’outils Infrastructure as Code (IaC), en développant des scripts et des configurations pour orchestrer efficacement les ressources cloud et on-premises, afin d'améliorer l'agilité opérationnelle et la scalabilité des environnements IT.</t>
  </si>
  <si>
    <t>Gérer l'ensemble du cycle de vie des infrastructures informatiques, depuis la configuration et l'administration avancée des systèmes jusqu'à la conception et la mise en œuvre de solutions distribuées, en utilisant des technologies basées sur des conteneurs d'applications logiciel afin d'assurer la disponibilité des services déployés sur des environnements complexes et hétérogènes.</t>
  </si>
  <si>
    <t>BC04 - (option) Concevoir et développer des solutions logicielles avancées, big data et intelligence artificielle</t>
  </si>
  <si>
    <t>Mettre en œuvre des techniques avancées de programmation, en explorant les concepts de gestion des erreurs, de manipulation avancée de données, de programmation orientée objet et de conception de modules personnalisés, afin de développer des solutions logicielles robustes et efficaces pour des applications avancées</t>
  </si>
  <si>
    <t>Acquérir une expertise sur le développement web, en explorant les concepts avancés d’un framework, afin de concevoir et de développer des applications web dynamiques et performantes.</t>
  </si>
  <si>
    <t>Maîtriser l'utilisation d’un language de programmation pour le Data Mining et l'Intelligence Artificielle, en explorant les concepts avancés de manipulation de données, de modélisation statistique et d'implémentation d'algorithmes d'apprentissage automatique, afin de développer des solutions efficaces pour l'analyse de données et la création de modèles prédictifs.</t>
  </si>
  <si>
    <t>Appliquer les concepts avancés de l'intelligence artificielle (IA), en explorant les algorithmes d'apprentissage automatique, les réseaux neuronaux profonds et les techniques de traitement du langage naturel, afin de concevoir et de développer des solutions innovantes pour résoudre des problèmes complexes dans divers domaines.</t>
  </si>
  <si>
    <t>Analyser les données massives à l'aide des techniques de Data Mining et d'Intelligence Artificielle dans le contexte du Big Data, en explorant les méthodes de clustering et de classification, ainsi que les outils de traitement de données distribuées, afin d'extraire des informations précieuses et de prendre des décisions stratégiques basées sur les données.</t>
  </si>
  <si>
    <t>Concevoir des solutions d'indexation, de stockage et de recherche de volumes importants de données non structurées, dans le but de fournir des résultats de recherche rapides et précis pour les utilisateurs finaux.</t>
  </si>
  <si>
    <t>Concevoir et mettre en œuvre des entrepôts de données (Datawarehouse) en utilisant des techniques de modélisation dimensionnelle, dans le but de centraliser, organiser et analyser efficacement de grandes quantités de données pour prendre des décisions stratégiques éclairées.</t>
  </si>
  <si>
    <t>Implémenter des techniques avancées d'exploitation de données, en utilisant des fonctions analytiques, des jointures complexes et des sous-requêtes imbriquées, dans le but d'extraire des informations pertinentes et d'effectuer des analyses approfondies sur de grands ensembles de données.</t>
  </si>
  <si>
    <t>Implémenter les bonnes pratiques d'ITIL orientées développement, en analysant les processus et les workflows existants, en concevant des méthodes efficaces de gestion des incidents, des changements et des versions dans le cycle de vie du développement logiciel, dans le but d'optimiser la qualité et la fiabilité des applications déployées.</t>
  </si>
  <si>
    <t>Appliquer les principes de la cybersécurité dans le contexte du web, en analysant les vulnérabilités, en mettant en œuvre des mesures de protection avancées, dans le but de sécuriser efficacement les applications et les données en ligne.</t>
  </si>
  <si>
    <t>Implémenter les principes d'intégration et de déploiement continu dans le cadre d'un projet d'applications web, en automatisant les étapes de compilation, de test et de déploiement, dans le but d'assurer une livraison rapide, fiable et itérative de nouvelles fonctionnalités aux utilisateurs finaux.</t>
  </si>
  <si>
    <t>BC1</t>
  </si>
  <si>
    <t>BC2</t>
  </si>
  <si>
    <t>BC 3/4 (40147)</t>
  </si>
  <si>
    <t>BC3</t>
  </si>
  <si>
    <t>BC4</t>
  </si>
  <si>
    <t>BC5</t>
  </si>
  <si>
    <t>isitech</t>
  </si>
  <si>
    <t>emineo</t>
  </si>
  <si>
    <t>CLASSE</t>
  </si>
  <si>
    <t>Premier rendu : Analyse du sujet (N+1 MOIS)</t>
  </si>
  <si>
    <t>NIVEAU</t>
  </si>
  <si>
    <t>M1</t>
  </si>
  <si>
    <t>Points MAX</t>
  </si>
  <si>
    <r>
      <t>Qualité des questions</t>
    </r>
    <r>
      <rPr>
        <sz val="10.5"/>
        <color theme="1"/>
        <rFont val="Roboto"/>
      </rPr>
      <t> (logique, pertinence, clarté)</t>
    </r>
  </si>
  <si>
    <t>Nombre de questions </t>
  </si>
  <si>
    <t>Pertinence des questions par rapport au sujet</t>
  </si>
  <si>
    <r>
      <t>Niveau de compréhension du sujet</t>
    </r>
    <r>
      <rPr>
        <sz val="10.5"/>
        <color theme="1"/>
        <rFont val="Roboto"/>
      </rPr>
      <t> (démontré à travers les questions posées)</t>
    </r>
  </si>
  <si>
    <r>
      <t>Collaboration avec le référent pédagogique</t>
    </r>
    <r>
      <rPr>
        <sz val="10.5"/>
        <color theme="1"/>
        <rFont val="Roboto"/>
      </rPr>
      <t> (qualité des échanges, réactivité)</t>
    </r>
  </si>
  <si>
    <r>
      <t>Clarté et organisation du document PDF</t>
    </r>
    <r>
      <rPr>
        <sz val="10.5"/>
        <color theme="1"/>
        <rFont val="Roboto"/>
      </rPr>
      <t> (présentation, structure)</t>
    </r>
  </si>
  <si>
    <r>
      <t>Originalité et profondeur des questions posées</t>
    </r>
    <r>
      <rPr>
        <sz val="10.5"/>
        <color theme="1"/>
        <rFont val="Roboto"/>
      </rPr>
      <t> (questions qui démontrent une réflexion approfondie sur le sujet)</t>
    </r>
  </si>
  <si>
    <t>Qualité de la formulation et absence d'ambiguïté dans les questions</t>
  </si>
  <si>
    <t>Total : 50 points</t>
  </si>
  <si>
    <t>Rendu sur l’évaluation du bloc 1 « Management de projet et d'équipes ».</t>
  </si>
  <si>
    <t>Deuxième rendu : Planification du projet (N+3 MOIS)</t>
  </si>
  <si>
    <t>Troisième rendu : Soutenance &amp; démo du projet - MVP (N+6 MOIS)</t>
  </si>
  <si>
    <r>
      <t>Clarté de la présentation orale</t>
    </r>
    <r>
      <rPr>
        <sz val="10.5"/>
        <color theme="1"/>
        <rFont val="Roboto"/>
      </rPr>
      <t> (structure, fluidité, pertinence des informations)</t>
    </r>
  </si>
  <si>
    <t>Qualité visuelle et technique de la vidéo utilisée pour la démonstration MVP</t>
  </si>
  <si>
    <t>Pertinence des perspectives d’évolution proposées pour le projet futur</t>
  </si>
  <si>
    <r>
      <rPr>
        <b/>
        <sz val="12"/>
        <color theme="1"/>
        <rFont val="Aptos Narrow"/>
        <family val="2"/>
        <scheme val="minor"/>
      </rPr>
      <t xml:space="preserve">Aller plus loin que l'attendu : </t>
    </r>
    <r>
      <rPr>
        <sz val="12"/>
        <color theme="1"/>
        <rFont val="Aptos Narrow"/>
        <family val="2"/>
        <scheme val="minor"/>
      </rPr>
      <t>Capacité du projet à dépasser les attentes initiales et apporter une valeur ajoutée supplémentaire.</t>
    </r>
  </si>
  <si>
    <t>Point Bonus de présentation individuelle</t>
  </si>
  <si>
    <t>% du Rendu sur l’évaluation du bloc 2 « Management, supervision et sécurisation des systèmes d’information ».</t>
  </si>
  <si>
    <t>Quatrième rendu : Livrable final (N+6 MOIS)</t>
  </si>
  <si>
    <r>
      <t>Cohérence de l'architecture technique proposée</t>
    </r>
    <r>
      <rPr>
        <sz val="10.5"/>
        <color theme="1"/>
        <rFont val="Roboto"/>
      </rPr>
      <t> (pertinence des choix techniques par rapport aux objectifs)</t>
    </r>
  </si>
  <si>
    <t>Respect des délais et conformité avec les exigences initiales du projet</t>
  </si>
  <si>
    <t>Nom complêt</t>
  </si>
  <si>
    <t>Campus</t>
  </si>
  <si>
    <t>Groupe de formation</t>
  </si>
  <si>
    <t>ABAAKIL</t>
  </si>
  <si>
    <t>Mariya</t>
  </si>
  <si>
    <t>Paris</t>
  </si>
  <si>
    <t>MSI 4-26 DEV ISI PARIS</t>
  </si>
  <si>
    <t>ACHOUR</t>
  </si>
  <si>
    <t>Sarah</t>
  </si>
  <si>
    <t>ACHOUR Sarah</t>
  </si>
  <si>
    <t>MSI 4-26 BD ISI PARIS</t>
  </si>
  <si>
    <t>ABBADI</t>
  </si>
  <si>
    <t>RYAN</t>
  </si>
  <si>
    <t>MSI 4-26 PO ISI PARIS</t>
  </si>
  <si>
    <t>ADOUKEDJA PETTRO</t>
  </si>
  <si>
    <t>Steven-Espoir</t>
  </si>
  <si>
    <t>ADOUKEDJA PETTRO Steven-Espoir</t>
  </si>
  <si>
    <t>ABDOU</t>
  </si>
  <si>
    <t>El Amine</t>
  </si>
  <si>
    <t>MSI 5-25 CS E ISI PARIS</t>
  </si>
  <si>
    <t>ALITI</t>
  </si>
  <si>
    <t>Syrine</t>
  </si>
  <si>
    <t>ABDULLAH</t>
  </si>
  <si>
    <t>Gudoos</t>
  </si>
  <si>
    <t>CPI-3-25 SR D ISI PARIS</t>
  </si>
  <si>
    <t>ALTUNEL</t>
  </si>
  <si>
    <t>Huseyin-Bora</t>
  </si>
  <si>
    <t>ALTUNEL Huseyin-Bora</t>
  </si>
  <si>
    <t>ABIDAR</t>
  </si>
  <si>
    <t>Younes</t>
  </si>
  <si>
    <t>CPI-3-25 SR C ISI PARIS</t>
  </si>
  <si>
    <t>BELKACEMI</t>
  </si>
  <si>
    <t>Cylia</t>
  </si>
  <si>
    <t>ABIRAM</t>
  </si>
  <si>
    <t>Raveendran</t>
  </si>
  <si>
    <t>BENAMER</t>
  </si>
  <si>
    <t>Aymen</t>
  </si>
  <si>
    <t>BENAMER Aymen</t>
  </si>
  <si>
    <t>ABOU TOIHIRY</t>
  </si>
  <si>
    <t>Houssain</t>
  </si>
  <si>
    <t>CPI-2-26 A ISI PARIS</t>
  </si>
  <si>
    <t>BREVILLE</t>
  </si>
  <si>
    <t>Alexandre</t>
  </si>
  <si>
    <t>BREVILLE Alexandre</t>
  </si>
  <si>
    <t>ABRAHAM</t>
  </si>
  <si>
    <t>Lucas</t>
  </si>
  <si>
    <t>CPI-2-26 C ISI PARIS</t>
  </si>
  <si>
    <t>CONDUCHE</t>
  </si>
  <si>
    <t>Thomas</t>
  </si>
  <si>
    <t>CONDUCHE Thomas</t>
  </si>
  <si>
    <t>ACERBIS</t>
  </si>
  <si>
    <t>Loris</t>
  </si>
  <si>
    <t>CPI 3-25 SR B ISI PARIS</t>
  </si>
  <si>
    <t>DANTU</t>
  </si>
  <si>
    <t>Nathan</t>
  </si>
  <si>
    <t>GHANDRICHE</t>
  </si>
  <si>
    <t>Yani</t>
  </si>
  <si>
    <t>GHANDRICHE Yani</t>
  </si>
  <si>
    <t>ACOINE</t>
  </si>
  <si>
    <t>Mounir</t>
  </si>
  <si>
    <t>CPI 3-25 SR A ISI PARIS</t>
  </si>
  <si>
    <t>HACHANI</t>
  </si>
  <si>
    <t>WAIL</t>
  </si>
  <si>
    <t>HACHANI WAIL</t>
  </si>
  <si>
    <t>ADA</t>
  </si>
  <si>
    <t>Emile Junior</t>
  </si>
  <si>
    <t>JEANNEY</t>
  </si>
  <si>
    <t>Antoine</t>
  </si>
  <si>
    <t>JEANNEY Antoine</t>
  </si>
  <si>
    <t>ADELIN</t>
  </si>
  <si>
    <t>Anoir</t>
  </si>
  <si>
    <t>MSI 4-26 CS A ISI PARIS</t>
  </si>
  <si>
    <t>JODOM MATSOKO</t>
  </si>
  <si>
    <t>Marlène</t>
  </si>
  <si>
    <t>JODOM MATSOKO Marlène</t>
  </si>
  <si>
    <t>KOMTCHEU VEIGNE LEUKAM</t>
  </si>
  <si>
    <t>Armand colin</t>
  </si>
  <si>
    <t>KOMTCHEU VEIGNE LEUKAM Armand colin</t>
  </si>
  <si>
    <t>AFARMACH</t>
  </si>
  <si>
    <t>Hakim</t>
  </si>
  <si>
    <t>LOUNI</t>
  </si>
  <si>
    <t>Atika</t>
  </si>
  <si>
    <t>LOUNI Atika</t>
  </si>
  <si>
    <t>AGONNOUDE</t>
  </si>
  <si>
    <t>Roger</t>
  </si>
  <si>
    <t>MERDAS</t>
  </si>
  <si>
    <t>Mouhoub</t>
  </si>
  <si>
    <t>MERDAS Mouhoub</t>
  </si>
  <si>
    <t>AH YOUNE</t>
  </si>
  <si>
    <t>Yannick</t>
  </si>
  <si>
    <t>MESSAOUI</t>
  </si>
  <si>
    <t>Tassadit dounia</t>
  </si>
  <si>
    <t>MESSAOUI Tassadit dounia</t>
  </si>
  <si>
    <t>AHAMADOU KABIR</t>
  </si>
  <si>
    <t>Mohamed</t>
  </si>
  <si>
    <t>MSI 5-25 DEV A ISI PARIS</t>
  </si>
  <si>
    <t>MOHAMED ELECTON</t>
  </si>
  <si>
    <t>Shamcya</t>
  </si>
  <si>
    <t>MOHAMED ELECTON Shamcya</t>
  </si>
  <si>
    <t>AHMED</t>
  </si>
  <si>
    <t>MUBASHAR</t>
  </si>
  <si>
    <t>CPI 3-25 DEV B ISI PARIS</t>
  </si>
  <si>
    <t>MOSTEFAOUI</t>
  </si>
  <si>
    <t>Youness</t>
  </si>
  <si>
    <t>MOSTEFAOUI Youness</t>
  </si>
  <si>
    <t>AINAS</t>
  </si>
  <si>
    <t>Nabil</t>
  </si>
  <si>
    <t>MOUSSA</t>
  </si>
  <si>
    <t>MOUSSA Mohamed</t>
  </si>
  <si>
    <t>AKIN</t>
  </si>
  <si>
    <t>Betul</t>
  </si>
  <si>
    <t>MSI 4-26 DO B ISI PARIS</t>
  </si>
  <si>
    <t>NYOURI</t>
  </si>
  <si>
    <t>Taha-Yassine</t>
  </si>
  <si>
    <t>NYOURI Taha-Yassine</t>
  </si>
  <si>
    <t>AKMAN</t>
  </si>
  <si>
    <t>Ramazan</t>
  </si>
  <si>
    <t>CPI-1-27 A ISI PARIS</t>
  </si>
  <si>
    <t>OUMAZIZ</t>
  </si>
  <si>
    <t>Houria Hanane</t>
  </si>
  <si>
    <t>OUMAZIZ Houria Hanane</t>
  </si>
  <si>
    <t>AL ESTWANI</t>
  </si>
  <si>
    <t>Abdulrahman</t>
  </si>
  <si>
    <t>MSI 5-25 CS B ISI PARIS</t>
  </si>
  <si>
    <t>PRZYLUSKI</t>
  </si>
  <si>
    <t>Loïc</t>
  </si>
  <si>
    <t>PRZYLUSKI Loïc</t>
  </si>
  <si>
    <t>AL FATNI</t>
  </si>
  <si>
    <t>Yassin</t>
  </si>
  <si>
    <t>RAJAONARIVELO</t>
  </si>
  <si>
    <t>Andriarilala Tina</t>
  </si>
  <si>
    <t>RAJAONARIVELO Andriarilala Tina</t>
  </si>
  <si>
    <t>ALARCON</t>
  </si>
  <si>
    <t>Tom</t>
  </si>
  <si>
    <t>CPI 3-25 DEV A ISI PARIS</t>
  </si>
  <si>
    <t>SUPPIAH</t>
  </si>
  <si>
    <t>Kaavya</t>
  </si>
  <si>
    <t>SUPPIAH Kaavya</t>
  </si>
  <si>
    <t>ALAVO AMOUSSOUKPEVI</t>
  </si>
  <si>
    <t>Anicson Derrick</t>
  </si>
  <si>
    <t>MSI 5-25 DEV C ISI PARIS</t>
  </si>
  <si>
    <t>TOURQUI</t>
  </si>
  <si>
    <t>Rym</t>
  </si>
  <si>
    <t>TOURQUI Rym</t>
  </si>
  <si>
    <t>ALBARICO</t>
  </si>
  <si>
    <t>Marjorie</t>
  </si>
  <si>
    <t>MSI 5-25 DA ISI PARIS</t>
  </si>
  <si>
    <t>VIGNARD</t>
  </si>
  <si>
    <t>Romain</t>
  </si>
  <si>
    <t>VIGNARD Romain</t>
  </si>
  <si>
    <t>ALBAYRAK</t>
  </si>
  <si>
    <t>Mikail</t>
  </si>
  <si>
    <t>MSI 5-25 CS C ISI PARIS</t>
  </si>
  <si>
    <t>ZERFAOUI</t>
  </si>
  <si>
    <t>MEHDI</t>
  </si>
  <si>
    <t>ZERFAOUI MEHDI</t>
  </si>
  <si>
    <t>ALERTE</t>
  </si>
  <si>
    <t>Benjamin</t>
  </si>
  <si>
    <t>CPI-1-27 B ISI PARIS</t>
  </si>
  <si>
    <t>ALIKER</t>
  </si>
  <si>
    <t>Quentin</t>
  </si>
  <si>
    <t>ALLEM</t>
  </si>
  <si>
    <t>Akli</t>
  </si>
  <si>
    <t>ALLIOUI</t>
  </si>
  <si>
    <t>Meriem</t>
  </si>
  <si>
    <t>AMARA</t>
  </si>
  <si>
    <t>Bilal</t>
  </si>
  <si>
    <t>AMRAOUI</t>
  </si>
  <si>
    <t>Achraf</t>
  </si>
  <si>
    <t>MSI 5-25 CS D ISI PARIS</t>
  </si>
  <si>
    <t>AMROUCHE</t>
  </si>
  <si>
    <t>Fatima</t>
  </si>
  <si>
    <t>ANDRECK</t>
  </si>
  <si>
    <t>ANDRIAMIHAJA</t>
  </si>
  <si>
    <t>Rhidine</t>
  </si>
  <si>
    <t>MSI 5-25 PO ISI PARIS</t>
  </si>
  <si>
    <t>ANG</t>
  </si>
  <si>
    <t>Gian</t>
  </si>
  <si>
    <t>Billy</t>
  </si>
  <si>
    <t>ANGLOMA</t>
  </si>
  <si>
    <t>Wesley</t>
  </si>
  <si>
    <t>MSI 4-26 CS B ISI PARIS</t>
  </si>
  <si>
    <t>ANTHONIPILLAI</t>
  </si>
  <si>
    <t>Jackson</t>
  </si>
  <si>
    <t>ANTREASSIAN</t>
  </si>
  <si>
    <t>Hugo</t>
  </si>
  <si>
    <t>ARJOCA</t>
  </si>
  <si>
    <t>Adrian</t>
  </si>
  <si>
    <t>ASSAM</t>
  </si>
  <si>
    <t>ASSAS</t>
  </si>
  <si>
    <t>Hamza</t>
  </si>
  <si>
    <t>ASSELIN</t>
  </si>
  <si>
    <t>Mathis</t>
  </si>
  <si>
    <t>ASSOUMANI</t>
  </si>
  <si>
    <t>Hachim</t>
  </si>
  <si>
    <t>MSI 5-25 DO B ISI PARIS</t>
  </si>
  <si>
    <t>ATTAL</t>
  </si>
  <si>
    <t>Meyer</t>
  </si>
  <si>
    <t>AWAD</t>
  </si>
  <si>
    <t>AZIRAR</t>
  </si>
  <si>
    <t>Othmane</t>
  </si>
  <si>
    <t>AZIZI</t>
  </si>
  <si>
    <t>AZOUZI</t>
  </si>
  <si>
    <t>Radouane</t>
  </si>
  <si>
    <t>BAAROUN</t>
  </si>
  <si>
    <t>Ahmed</t>
  </si>
  <si>
    <t>MSI 4-26 CS C ISI PARIS</t>
  </si>
  <si>
    <t>BABACI</t>
  </si>
  <si>
    <t>Nassim</t>
  </si>
  <si>
    <t>MSI 5-25 CS A ISI PARIS</t>
  </si>
  <si>
    <t>BACHELLE</t>
  </si>
  <si>
    <t>Axel</t>
  </si>
  <si>
    <t>BAGANA</t>
  </si>
  <si>
    <t>Wassim</t>
  </si>
  <si>
    <t>MSI 4-26 DO A ISI PARIS</t>
  </si>
  <si>
    <t>BALANDISSA DIANZINGA</t>
  </si>
  <si>
    <t>Hirche Jaime</t>
  </si>
  <si>
    <t>MSI 4-26 DO C ISI PARIS</t>
  </si>
  <si>
    <t>BALDOCCHI</t>
  </si>
  <si>
    <t>Adrien</t>
  </si>
  <si>
    <t>BALOUP</t>
  </si>
  <si>
    <t>Clément</t>
  </si>
  <si>
    <t>BAMBA</t>
  </si>
  <si>
    <t>Souhaliho</t>
  </si>
  <si>
    <t>BANDOKI</t>
  </si>
  <si>
    <t>Karl</t>
  </si>
  <si>
    <t>BANZOUZI</t>
  </si>
  <si>
    <t>Dilou</t>
  </si>
  <si>
    <t>BARDAN</t>
  </si>
  <si>
    <t>Mircea-Calin</t>
  </si>
  <si>
    <t>BARRAS</t>
  </si>
  <si>
    <t>Evan</t>
  </si>
  <si>
    <t>BARTHELEMY</t>
  </si>
  <si>
    <t>Kylian</t>
  </si>
  <si>
    <t>BASRIRE</t>
  </si>
  <si>
    <t>Azdine</t>
  </si>
  <si>
    <t>BASSENE</t>
  </si>
  <si>
    <t>Jean-Christophe</t>
  </si>
  <si>
    <t>BEAUCIQUOT</t>
  </si>
  <si>
    <t>BEAUFILS-VANNIER</t>
  </si>
  <si>
    <t>Amélie</t>
  </si>
  <si>
    <t>BEL</t>
  </si>
  <si>
    <t>Jean Baptiste</t>
  </si>
  <si>
    <t>BELBACHIR</t>
  </si>
  <si>
    <t>Ayoub</t>
  </si>
  <si>
    <t>BELFERROUM</t>
  </si>
  <si>
    <t>Bilel</t>
  </si>
  <si>
    <t>BELLEGUIE</t>
  </si>
  <si>
    <t>Mathieu</t>
  </si>
  <si>
    <t>BEMBA</t>
  </si>
  <si>
    <t>Jovany</t>
  </si>
  <si>
    <t>BEN AHMED</t>
  </si>
  <si>
    <t>Mohamed Dhia</t>
  </si>
  <si>
    <t>BEN HAMADI</t>
  </si>
  <si>
    <t>Soumaya</t>
  </si>
  <si>
    <t>BEN KHADDA</t>
  </si>
  <si>
    <t>BEN KHELIFA</t>
  </si>
  <si>
    <t>Mehdi</t>
  </si>
  <si>
    <t>CPI-2-26 B ISI PARIS</t>
  </si>
  <si>
    <t>BEN RACHED</t>
  </si>
  <si>
    <t>BEN SOLTANE</t>
  </si>
  <si>
    <t>Sélim</t>
  </si>
  <si>
    <t>BENAROCHE</t>
  </si>
  <si>
    <t>Laura</t>
  </si>
  <si>
    <t>BENAZZA</t>
  </si>
  <si>
    <t>BENBOUREK</t>
  </si>
  <si>
    <t>Jillian</t>
  </si>
  <si>
    <t>BENDRIS</t>
  </si>
  <si>
    <t>Mellina</t>
  </si>
  <si>
    <t>BENHAMANA</t>
  </si>
  <si>
    <t>Kamel</t>
  </si>
  <si>
    <t>BENIE</t>
  </si>
  <si>
    <t>Aya Aminata</t>
  </si>
  <si>
    <t>BENMESSAOUD</t>
  </si>
  <si>
    <t>Sedik</t>
  </si>
  <si>
    <t>BENNOUAR</t>
  </si>
  <si>
    <t>Madjid</t>
  </si>
  <si>
    <t>BENTALEB</t>
  </si>
  <si>
    <t>Meryem</t>
  </si>
  <si>
    <t>BENTAYEB</t>
  </si>
  <si>
    <t>Ryan</t>
  </si>
  <si>
    <t>BENYAHYA</t>
  </si>
  <si>
    <t>BENYOUCEF</t>
  </si>
  <si>
    <t>Brahim</t>
  </si>
  <si>
    <t>BERGER-TERRASSE</t>
  </si>
  <si>
    <t>Corentin</t>
  </si>
  <si>
    <t>BERNIER</t>
  </si>
  <si>
    <t>Théo</t>
  </si>
  <si>
    <t>BERRICHI</t>
  </si>
  <si>
    <t>Faiza</t>
  </si>
  <si>
    <t>Zineddine</t>
  </si>
  <si>
    <t>BHARDWAJ</t>
  </si>
  <si>
    <t>Manan</t>
  </si>
  <si>
    <t>BHAVSAR</t>
  </si>
  <si>
    <t>Uday</t>
  </si>
  <si>
    <t>BIANCO</t>
  </si>
  <si>
    <t>Matéo</t>
  </si>
  <si>
    <t>BLIVI</t>
  </si>
  <si>
    <t>Fafa</t>
  </si>
  <si>
    <t>MSI 5-25 DEV B ISI PARIS</t>
  </si>
  <si>
    <t>BODIN</t>
  </si>
  <si>
    <t>Enzo</t>
  </si>
  <si>
    <t>BOISEAUX</t>
  </si>
  <si>
    <t>Brendan</t>
  </si>
  <si>
    <t>BOISSONNET</t>
  </si>
  <si>
    <t>Baptiste</t>
  </si>
  <si>
    <t>BOITELLE</t>
  </si>
  <si>
    <t>Delphine</t>
  </si>
  <si>
    <t>BONTEMPS</t>
  </si>
  <si>
    <t>Rishi</t>
  </si>
  <si>
    <t>BOROWIEC</t>
  </si>
  <si>
    <t>BOSC</t>
  </si>
  <si>
    <t>Alice</t>
  </si>
  <si>
    <t>BOSTON</t>
  </si>
  <si>
    <t>Vic-Ryan</t>
  </si>
  <si>
    <t>BOUCHAM</t>
  </si>
  <si>
    <t>Younès</t>
  </si>
  <si>
    <t>BOUHAFS</t>
  </si>
  <si>
    <t>Seyfeddine</t>
  </si>
  <si>
    <t>BOUKHEROUBA--LAPIERRE</t>
  </si>
  <si>
    <t>Amine</t>
  </si>
  <si>
    <t>BOULFRAD</t>
  </si>
  <si>
    <t>Samie</t>
  </si>
  <si>
    <t>BOUMAZOUZI</t>
  </si>
  <si>
    <t>Amir</t>
  </si>
  <si>
    <t>BOUMERTIT</t>
  </si>
  <si>
    <t>Liza</t>
  </si>
  <si>
    <t>BOURDOIS</t>
  </si>
  <si>
    <t>BOURENNANI</t>
  </si>
  <si>
    <t>Anis</t>
  </si>
  <si>
    <t>BOUSSARI</t>
  </si>
  <si>
    <t>Andile</t>
  </si>
  <si>
    <t>BOUTEAU</t>
  </si>
  <si>
    <t>Charlotte</t>
  </si>
  <si>
    <t>BOUZABAL</t>
  </si>
  <si>
    <t>BOUZEKRI</t>
  </si>
  <si>
    <t>Ayyoub</t>
  </si>
  <si>
    <t>BRAHIMI</t>
  </si>
  <si>
    <t>Yacir</t>
  </si>
  <si>
    <t>BRUNO</t>
  </si>
  <si>
    <t>Matteo</t>
  </si>
  <si>
    <t>BUCA</t>
  </si>
  <si>
    <t>Andreia</t>
  </si>
  <si>
    <t>BUTYNSKI</t>
  </si>
  <si>
    <t>CAMACHO</t>
  </si>
  <si>
    <t>Malcom</t>
  </si>
  <si>
    <t>CAMARA</t>
  </si>
  <si>
    <t>Samuel</t>
  </si>
  <si>
    <t>Massila</t>
  </si>
  <si>
    <t>CAMUS</t>
  </si>
  <si>
    <t>Valéry Alexandre</t>
  </si>
  <si>
    <t>CANO</t>
  </si>
  <si>
    <t>CANOUAKE</t>
  </si>
  <si>
    <t>Yaseen</t>
  </si>
  <si>
    <t>CAPDEPON DE BIGU-POIRRIER</t>
  </si>
  <si>
    <t>Edouard</t>
  </si>
  <si>
    <t>CARDIGOS</t>
  </si>
  <si>
    <t>David</t>
  </si>
  <si>
    <t>CARIOU</t>
  </si>
  <si>
    <t>Léon</t>
  </si>
  <si>
    <t>CARON</t>
  </si>
  <si>
    <t>Nicolas</t>
  </si>
  <si>
    <t>CAROUMBAYARAME</t>
  </si>
  <si>
    <t>Resabu</t>
  </si>
  <si>
    <t>CARPENTIER</t>
  </si>
  <si>
    <t>Esteban</t>
  </si>
  <si>
    <t>CASTELL</t>
  </si>
  <si>
    <t>CESARI</t>
  </si>
  <si>
    <t>Milhane</t>
  </si>
  <si>
    <t>CETRAN</t>
  </si>
  <si>
    <t>Elliot</t>
  </si>
  <si>
    <t>CH'BABI</t>
  </si>
  <si>
    <t>CHAIBEDDRA-TANI</t>
  </si>
  <si>
    <t>Loqmane</t>
  </si>
  <si>
    <t>CHALLAL</t>
  </si>
  <si>
    <t>ILYAS</t>
  </si>
  <si>
    <t>CHAN</t>
  </si>
  <si>
    <t>Léo</t>
  </si>
  <si>
    <t>CHANAL</t>
  </si>
  <si>
    <t>Olivier</t>
  </si>
  <si>
    <t>CHANTHAVONG</t>
  </si>
  <si>
    <t>Fanny</t>
  </si>
  <si>
    <t>CHARMILLON</t>
  </si>
  <si>
    <t>Louis-Marvin</t>
  </si>
  <si>
    <t>CHARRON</t>
  </si>
  <si>
    <t>CHATTI</t>
  </si>
  <si>
    <t>Khalil</t>
  </si>
  <si>
    <t>CHAUDHARY</t>
  </si>
  <si>
    <t>Prajay</t>
  </si>
  <si>
    <t>CHAUFOURNAIS</t>
  </si>
  <si>
    <t>Loic</t>
  </si>
  <si>
    <t>CHAUMULOT</t>
  </si>
  <si>
    <t>Yanis</t>
  </si>
  <si>
    <t>CHEEMA</t>
  </si>
  <si>
    <t>Ranvir</t>
  </si>
  <si>
    <t>CHENET</t>
  </si>
  <si>
    <t>CHENG</t>
  </si>
  <si>
    <t>Alain</t>
  </si>
  <si>
    <t>CHERITI</t>
  </si>
  <si>
    <t>CHERNIAVSKA</t>
  </si>
  <si>
    <t>Viktoriia</t>
  </si>
  <si>
    <t>CHERQI</t>
  </si>
  <si>
    <t>Amin</t>
  </si>
  <si>
    <t>CHETOUI</t>
  </si>
  <si>
    <t>Ymed-eddine</t>
  </si>
  <si>
    <t>CHEVALIER</t>
  </si>
  <si>
    <t>Fabien</t>
  </si>
  <si>
    <t>CHIHI</t>
  </si>
  <si>
    <t>Mohammed</t>
  </si>
  <si>
    <t>CHOQRI</t>
  </si>
  <si>
    <t>Sami</t>
  </si>
  <si>
    <t>CHRISTMANN</t>
  </si>
  <si>
    <t>Julian</t>
  </si>
  <si>
    <t>CHTAIBAT-SAAF</t>
  </si>
  <si>
    <t>Leyla</t>
  </si>
  <si>
    <t>COCHARD--DURIGNEUX</t>
  </si>
  <si>
    <t>Louis</t>
  </si>
  <si>
    <t>COHEN-SOLAL</t>
  </si>
  <si>
    <t>Ethan</t>
  </si>
  <si>
    <t>COLAS</t>
  </si>
  <si>
    <t>Erwan</t>
  </si>
  <si>
    <t>COLLADANT</t>
  </si>
  <si>
    <t>Nolhan</t>
  </si>
  <si>
    <t>CÔME</t>
  </si>
  <si>
    <t>Rémi</t>
  </si>
  <si>
    <t>CORINTHE</t>
  </si>
  <si>
    <t>Jérémy</t>
  </si>
  <si>
    <t>COULOMBEL</t>
  </si>
  <si>
    <t>COURTOIS</t>
  </si>
  <si>
    <t>Elodie</t>
  </si>
  <si>
    <t>CRESPIN</t>
  </si>
  <si>
    <t>Raphaël</t>
  </si>
  <si>
    <t>CRISEO</t>
  </si>
  <si>
    <t>Luca</t>
  </si>
  <si>
    <t>DA COSTA</t>
  </si>
  <si>
    <t>Tiago</t>
  </si>
  <si>
    <t>Pierre Joaquim</t>
  </si>
  <si>
    <t>DA SILVA</t>
  </si>
  <si>
    <t>Joé</t>
  </si>
  <si>
    <t>DACCORD</t>
  </si>
  <si>
    <t>Pierre-Alexandre</t>
  </si>
  <si>
    <t>DADI</t>
  </si>
  <si>
    <t>Yusr</t>
  </si>
  <si>
    <t>DAHOUCH</t>
  </si>
  <si>
    <t>Zainab</t>
  </si>
  <si>
    <t>DARGUEL</t>
  </si>
  <si>
    <t>Ismael</t>
  </si>
  <si>
    <t>DE ALMEIDA</t>
  </si>
  <si>
    <t>DE BELENET</t>
  </si>
  <si>
    <t>Pierre</t>
  </si>
  <si>
    <t>DE CHABOT</t>
  </si>
  <si>
    <t>Louis-Alexandre</t>
  </si>
  <si>
    <t>DE DIEULEVEULT</t>
  </si>
  <si>
    <t>Stanislas</t>
  </si>
  <si>
    <t>DE MARESCHAL</t>
  </si>
  <si>
    <t>DE OLIVEIRA</t>
  </si>
  <si>
    <t>DE SOUZA</t>
  </si>
  <si>
    <t>Joseph</t>
  </si>
  <si>
    <t>DELANTE</t>
  </si>
  <si>
    <t>DELATTRE</t>
  </si>
  <si>
    <t>Hannah</t>
  </si>
  <si>
    <t>DELBAUCHE</t>
  </si>
  <si>
    <t>Charly</t>
  </si>
  <si>
    <t>DELBECQ</t>
  </si>
  <si>
    <t>DELLERIE</t>
  </si>
  <si>
    <t>Guillaume</t>
  </si>
  <si>
    <t>DEMIR</t>
  </si>
  <si>
    <t>Emre</t>
  </si>
  <si>
    <t>DENIS</t>
  </si>
  <si>
    <t>Marine</t>
  </si>
  <si>
    <t>Christopher</t>
  </si>
  <si>
    <t>DEROUBAIX</t>
  </si>
  <si>
    <t>Sasha</t>
  </si>
  <si>
    <t>DESLOUS-PAOLI</t>
  </si>
  <si>
    <t>Magali</t>
  </si>
  <si>
    <t>DETEE</t>
  </si>
  <si>
    <t>DETELDER</t>
  </si>
  <si>
    <t>Camille</t>
  </si>
  <si>
    <t>DHIFALLAH</t>
  </si>
  <si>
    <t>Mohamed Rayan</t>
  </si>
  <si>
    <t>DHOSSOU</t>
  </si>
  <si>
    <t>Cabrel</t>
  </si>
  <si>
    <t>DIACOUMBA</t>
  </si>
  <si>
    <t>Mahamadou</t>
  </si>
  <si>
    <t>DIAKITE</t>
  </si>
  <si>
    <t>Guimba</t>
  </si>
  <si>
    <t>DIALLO</t>
  </si>
  <si>
    <t>Mamadou Hady</t>
  </si>
  <si>
    <t>Mamadou Arabiou</t>
  </si>
  <si>
    <t>Djibril</t>
  </si>
  <si>
    <t>Alassane</t>
  </si>
  <si>
    <t>DIANKA</t>
  </si>
  <si>
    <t>Astan</t>
  </si>
  <si>
    <t>DIARRA</t>
  </si>
  <si>
    <t>DIAS</t>
  </si>
  <si>
    <t>DIAZ</t>
  </si>
  <si>
    <t>DIJON</t>
  </si>
  <si>
    <t>Gaelle</t>
  </si>
  <si>
    <t>DINADAYALANE</t>
  </si>
  <si>
    <t>Aaron</t>
  </si>
  <si>
    <t>DISSI</t>
  </si>
  <si>
    <t>DISTRETTI</t>
  </si>
  <si>
    <t>DJEMMAA</t>
  </si>
  <si>
    <t>Walid</t>
  </si>
  <si>
    <t>DJIONGO DONGMO</t>
  </si>
  <si>
    <t>Jean Louis</t>
  </si>
  <si>
    <t>DOAN</t>
  </si>
  <si>
    <t>DOIZELET</t>
  </si>
  <si>
    <t>Killian</t>
  </si>
  <si>
    <t>DOMSIC</t>
  </si>
  <si>
    <t>Laurent</t>
  </si>
  <si>
    <t>DORCELUS</t>
  </si>
  <si>
    <t>Nomensky</t>
  </si>
  <si>
    <t>DOS SANTOS PACIENCIA</t>
  </si>
  <si>
    <t>Julie</t>
  </si>
  <si>
    <t>DOSSIN</t>
  </si>
  <si>
    <t>DOUADI</t>
  </si>
  <si>
    <t>DOUMAT</t>
  </si>
  <si>
    <t>Wyssem</t>
  </si>
  <si>
    <t>DOURESSAMY</t>
  </si>
  <si>
    <t>Ludovic</t>
  </si>
  <si>
    <t>DOURI</t>
  </si>
  <si>
    <t>Mohamad</t>
  </si>
  <si>
    <t>DUBOIS</t>
  </si>
  <si>
    <t>Etienne</t>
  </si>
  <si>
    <t>DUCHEMANN</t>
  </si>
  <si>
    <t>Alexis</t>
  </si>
  <si>
    <t>DUMLU</t>
  </si>
  <si>
    <t>Can Bedirhan</t>
  </si>
  <si>
    <t>DUMONDIN</t>
  </si>
  <si>
    <t>DUPAS</t>
  </si>
  <si>
    <t>Allan</t>
  </si>
  <si>
    <t>DURAES</t>
  </si>
  <si>
    <t>DUVINA</t>
  </si>
  <si>
    <t>Victor</t>
  </si>
  <si>
    <t>EL AADDIDI</t>
  </si>
  <si>
    <t>EL ALAOUI</t>
  </si>
  <si>
    <t>Sidi Yassin</t>
  </si>
  <si>
    <t>EL BANA</t>
  </si>
  <si>
    <t>Ashraf</t>
  </si>
  <si>
    <t>EL BARZOUZI</t>
  </si>
  <si>
    <t>Iliess</t>
  </si>
  <si>
    <t>EL HAFSI</t>
  </si>
  <si>
    <t>Nizar</t>
  </si>
  <si>
    <t>EL JAAOUANI</t>
  </si>
  <si>
    <t>Yasmina</t>
  </si>
  <si>
    <t>EL JARRARI</t>
  </si>
  <si>
    <t>Wakil</t>
  </si>
  <si>
    <t>ELAOUNI</t>
  </si>
  <si>
    <t>Sofiane</t>
  </si>
  <si>
    <t>ELBOGHDADY</t>
  </si>
  <si>
    <t>Mahmoud</t>
  </si>
  <si>
    <t>ELHOCINE</t>
  </si>
  <si>
    <t>Arezki</t>
  </si>
  <si>
    <t>ESSADI</t>
  </si>
  <si>
    <t>Abderhamane</t>
  </si>
  <si>
    <t>ESTEVEZ</t>
  </si>
  <si>
    <t>Mikael</t>
  </si>
  <si>
    <t>ETAK</t>
  </si>
  <si>
    <t>Anding Vianney</t>
  </si>
  <si>
    <t>EXANTUS</t>
  </si>
  <si>
    <t>Jean-Yves</t>
  </si>
  <si>
    <t>FABIANI</t>
  </si>
  <si>
    <t>FADHLAOUI</t>
  </si>
  <si>
    <t>Mohamed-Amine</t>
  </si>
  <si>
    <t>FALL</t>
  </si>
  <si>
    <t>Mame Fatou</t>
  </si>
  <si>
    <t>FARABET</t>
  </si>
  <si>
    <t>Joachim</t>
  </si>
  <si>
    <t>FARCY</t>
  </si>
  <si>
    <t>Paul</t>
  </si>
  <si>
    <t>FARID</t>
  </si>
  <si>
    <t>FELIX</t>
  </si>
  <si>
    <t>Kilyan</t>
  </si>
  <si>
    <t>FERCOCQ</t>
  </si>
  <si>
    <t>FERNANDES</t>
  </si>
  <si>
    <t>FILALI</t>
  </si>
  <si>
    <t>Dhia Eddine</t>
  </si>
  <si>
    <t>FILIPE ZAMOUN</t>
  </si>
  <si>
    <t>FLAMENT</t>
  </si>
  <si>
    <t>Arthur</t>
  </si>
  <si>
    <t>FLANDERS</t>
  </si>
  <si>
    <t>Zaide</t>
  </si>
  <si>
    <t>FOCSA</t>
  </si>
  <si>
    <t>Yvan</t>
  </si>
  <si>
    <t>FOLY</t>
  </si>
  <si>
    <t>Sherley-emmanuelle</t>
  </si>
  <si>
    <t>FOURRAGE</t>
  </si>
  <si>
    <t>FOURTI</t>
  </si>
  <si>
    <t>Sidik</t>
  </si>
  <si>
    <t>FOUTOPOUO YEYAP</t>
  </si>
  <si>
    <t>Loic Steve</t>
  </si>
  <si>
    <t>FRANCK</t>
  </si>
  <si>
    <t>Cyrille</t>
  </si>
  <si>
    <t>GADEGBEKU</t>
  </si>
  <si>
    <t>Clyfton</t>
  </si>
  <si>
    <t>GAJIC</t>
  </si>
  <si>
    <t>Alexandar</t>
  </si>
  <si>
    <t>GANCI</t>
  </si>
  <si>
    <t>GANGBO</t>
  </si>
  <si>
    <t>Emmanuella</t>
  </si>
  <si>
    <t>GANI</t>
  </si>
  <si>
    <t>RAOUF</t>
  </si>
  <si>
    <t>GARCIA LOSSOU</t>
  </si>
  <si>
    <t>Bruno</t>
  </si>
  <si>
    <t>GAREC VINCENT</t>
  </si>
  <si>
    <t>Leo</t>
  </si>
  <si>
    <t>GASMI</t>
  </si>
  <si>
    <t>Grégoire</t>
  </si>
  <si>
    <t>GASTAL</t>
  </si>
  <si>
    <t>Julien</t>
  </si>
  <si>
    <t>GAUCHER</t>
  </si>
  <si>
    <t>Maxime</t>
  </si>
  <si>
    <t>GAUCHEZ</t>
  </si>
  <si>
    <t>GAUTHIER</t>
  </si>
  <si>
    <t>Vincent</t>
  </si>
  <si>
    <t>GAUTIER</t>
  </si>
  <si>
    <t>Cédric</t>
  </si>
  <si>
    <t>GAUTROT</t>
  </si>
  <si>
    <t>GAUVAIN</t>
  </si>
  <si>
    <t>GEFFROY</t>
  </si>
  <si>
    <t>Valentin</t>
  </si>
  <si>
    <t>GENEROSO</t>
  </si>
  <si>
    <t>GENET</t>
  </si>
  <si>
    <t>Bastien</t>
  </si>
  <si>
    <t>GERALDO</t>
  </si>
  <si>
    <t>GERARDIN</t>
  </si>
  <si>
    <t>Chloé</t>
  </si>
  <si>
    <t>GERGEREAU</t>
  </si>
  <si>
    <t>GHAZANI</t>
  </si>
  <si>
    <t>GHAZI</t>
  </si>
  <si>
    <t>Youssef</t>
  </si>
  <si>
    <t>GHAZLAOUI</t>
  </si>
  <si>
    <t>Karim</t>
  </si>
  <si>
    <t>GHEBRIOUA</t>
  </si>
  <si>
    <t>GHERBI</t>
  </si>
  <si>
    <t>GILAIN</t>
  </si>
  <si>
    <t>GILBERT</t>
  </si>
  <si>
    <t>William</t>
  </si>
  <si>
    <t>GLEYE</t>
  </si>
  <si>
    <t>Victorien</t>
  </si>
  <si>
    <t>GODIER</t>
  </si>
  <si>
    <t>GODINOT</t>
  </si>
  <si>
    <t>Jules</t>
  </si>
  <si>
    <t>GOMA MIMBA</t>
  </si>
  <si>
    <t>Jessie</t>
  </si>
  <si>
    <t>GOMES DE SOUSA</t>
  </si>
  <si>
    <t>Vitor</t>
  </si>
  <si>
    <t>GOMES PEIXOTO</t>
  </si>
  <si>
    <t>GOMEZ</t>
  </si>
  <si>
    <t>GRANDIDIER</t>
  </si>
  <si>
    <t>Merlin</t>
  </si>
  <si>
    <t>GRAVELEAU</t>
  </si>
  <si>
    <t>Matthis</t>
  </si>
  <si>
    <t>GREGORIO</t>
  </si>
  <si>
    <t>GRENECHE</t>
  </si>
  <si>
    <t>GRIMBERG</t>
  </si>
  <si>
    <t>Mélissa</t>
  </si>
  <si>
    <t>GRISORIO</t>
  </si>
  <si>
    <t>Sonny</t>
  </si>
  <si>
    <t>GROUILLER</t>
  </si>
  <si>
    <t>Mathys</t>
  </si>
  <si>
    <t>GUEGUEN</t>
  </si>
  <si>
    <t>GUELLIL</t>
  </si>
  <si>
    <t>Mostafa</t>
  </si>
  <si>
    <t>GUEMMAR</t>
  </si>
  <si>
    <t>Lisa</t>
  </si>
  <si>
    <t>GUENDOUZ</t>
  </si>
  <si>
    <t>GUENNOUNI</t>
  </si>
  <si>
    <t>Selsabil</t>
  </si>
  <si>
    <t>GUERIN</t>
  </si>
  <si>
    <t>GUERMOUCHE</t>
  </si>
  <si>
    <t>Youcef</t>
  </si>
  <si>
    <t>GUERNIOU</t>
  </si>
  <si>
    <t>GUETTA</t>
  </si>
  <si>
    <t>GUEYE</t>
  </si>
  <si>
    <t>Mame Diarra Bousso</t>
  </si>
  <si>
    <t>Aby</t>
  </si>
  <si>
    <t>GUILLAUME</t>
  </si>
  <si>
    <t>GUILLOU</t>
  </si>
  <si>
    <t>GUNTHER</t>
  </si>
  <si>
    <t>GURIN</t>
  </si>
  <si>
    <t>Daniil</t>
  </si>
  <si>
    <t>GUYMARC</t>
  </si>
  <si>
    <t>Pol</t>
  </si>
  <si>
    <t>GUYOT</t>
  </si>
  <si>
    <t>HABHAB</t>
  </si>
  <si>
    <t>Mayssa</t>
  </si>
  <si>
    <t>HADJADJ</t>
  </si>
  <si>
    <t>Inès</t>
  </si>
  <si>
    <t>HADJI</t>
  </si>
  <si>
    <t>Issam</t>
  </si>
  <si>
    <t>HADJRES</t>
  </si>
  <si>
    <t>Mourad</t>
  </si>
  <si>
    <t>HAFFOUD</t>
  </si>
  <si>
    <t>Yassine</t>
  </si>
  <si>
    <t>HAJJAJ</t>
  </si>
  <si>
    <t>Wissem</t>
  </si>
  <si>
    <t>HAJJI</t>
  </si>
  <si>
    <t>HALBELAID</t>
  </si>
  <si>
    <t>Adam</t>
  </si>
  <si>
    <t>HAMDI</t>
  </si>
  <si>
    <t>Samir</t>
  </si>
  <si>
    <t>HAMEL</t>
  </si>
  <si>
    <t>HAMOUCHI</t>
  </si>
  <si>
    <t>Omar</t>
  </si>
  <si>
    <t>HAMZAOUI</t>
  </si>
  <si>
    <t>Celina</t>
  </si>
  <si>
    <t>Assia</t>
  </si>
  <si>
    <t>HANANA</t>
  </si>
  <si>
    <t>Hatem</t>
  </si>
  <si>
    <t>HANNARD</t>
  </si>
  <si>
    <t>Nolan</t>
  </si>
  <si>
    <t>HAOUAS</t>
  </si>
  <si>
    <t>Rayan</t>
  </si>
  <si>
    <t>HAOUILI</t>
  </si>
  <si>
    <t>HARBI</t>
  </si>
  <si>
    <t>Ons</t>
  </si>
  <si>
    <t>HAROUN</t>
  </si>
  <si>
    <t>Islem</t>
  </si>
  <si>
    <t>HARTY DE PIERREBOURG</t>
  </si>
  <si>
    <t>HASNAOUI</t>
  </si>
  <si>
    <t>HASSAS</t>
  </si>
  <si>
    <t>Mohammed-Omar</t>
  </si>
  <si>
    <t>HATAM</t>
  </si>
  <si>
    <t>HELLAL</t>
  </si>
  <si>
    <t>Lynda</t>
  </si>
  <si>
    <t>HELLEGOUARCH</t>
  </si>
  <si>
    <t>Juluan</t>
  </si>
  <si>
    <t>HEMAZ</t>
  </si>
  <si>
    <t>Abdelillah abdelkader</t>
  </si>
  <si>
    <t>HEMBERT</t>
  </si>
  <si>
    <t>HENNOU</t>
  </si>
  <si>
    <t>HERIBI</t>
  </si>
  <si>
    <t>Adel</t>
  </si>
  <si>
    <t>HIAUMET</t>
  </si>
  <si>
    <t>Mattéo</t>
  </si>
  <si>
    <t>HMAIMID</t>
  </si>
  <si>
    <t>HO</t>
  </si>
  <si>
    <t>Vo Minhkhue</t>
  </si>
  <si>
    <t>HÖRLING</t>
  </si>
  <si>
    <t>HOUGUERES</t>
  </si>
  <si>
    <t>Stephan</t>
  </si>
  <si>
    <t>HOURTOULE</t>
  </si>
  <si>
    <t>HOZA</t>
  </si>
  <si>
    <t>Claudiu-Marian</t>
  </si>
  <si>
    <t>HURTAUD</t>
  </si>
  <si>
    <t>HUYNH</t>
  </si>
  <si>
    <t>HYDARA</t>
  </si>
  <si>
    <t>Aboubakar</t>
  </si>
  <si>
    <t>HYVERNAT</t>
  </si>
  <si>
    <t>Hafsa</t>
  </si>
  <si>
    <t>IBARA</t>
  </si>
  <si>
    <t>Ferreol Smaine</t>
  </si>
  <si>
    <t>ICHOU</t>
  </si>
  <si>
    <t>ID AHMED</t>
  </si>
  <si>
    <t>Ines</t>
  </si>
  <si>
    <t>ID BELYAZID</t>
  </si>
  <si>
    <t>IDEL</t>
  </si>
  <si>
    <t>IFRI</t>
  </si>
  <si>
    <t>Rabah</t>
  </si>
  <si>
    <t>IGUINIZ</t>
  </si>
  <si>
    <t>Ayhann</t>
  </si>
  <si>
    <t>IMARAZENE</t>
  </si>
  <si>
    <t>IMBERT</t>
  </si>
  <si>
    <t>Jessica</t>
  </si>
  <si>
    <t>INAMO</t>
  </si>
  <si>
    <t>Colyn</t>
  </si>
  <si>
    <t>INDRALINGAM</t>
  </si>
  <si>
    <t>INTHUSAN</t>
  </si>
  <si>
    <t>IZIKKI</t>
  </si>
  <si>
    <t>Iliès</t>
  </si>
  <si>
    <t>JAA</t>
  </si>
  <si>
    <t>JAILLANT</t>
  </si>
  <si>
    <t>JAOUHER</t>
  </si>
  <si>
    <t>Samy</t>
  </si>
  <si>
    <t>JARRAY</t>
  </si>
  <si>
    <t>Houssem Eddine</t>
  </si>
  <si>
    <t>JAYOUSI</t>
  </si>
  <si>
    <t>Adnan</t>
  </si>
  <si>
    <t>JEBANE</t>
  </si>
  <si>
    <t>JEDDI</t>
  </si>
  <si>
    <t>JEDRZEJCZAK</t>
  </si>
  <si>
    <t>JLIDI</t>
  </si>
  <si>
    <t>Saifedine</t>
  </si>
  <si>
    <t>JOSEPH</t>
  </si>
  <si>
    <t>Christerson</t>
  </si>
  <si>
    <t>JOUVENCEAU</t>
  </si>
  <si>
    <t>Tanguy</t>
  </si>
  <si>
    <t>KAHRAMANSOY</t>
  </si>
  <si>
    <t>Eyza</t>
  </si>
  <si>
    <t>KALALA-MWAMBA</t>
  </si>
  <si>
    <t>KAMAL</t>
  </si>
  <si>
    <t>Badr</t>
  </si>
  <si>
    <t>KAMALA</t>
  </si>
  <si>
    <t>Ibrahim</t>
  </si>
  <si>
    <t>KAMARA</t>
  </si>
  <si>
    <t>Aboubacar</t>
  </si>
  <si>
    <t>KANE</t>
  </si>
  <si>
    <t>Serigne</t>
  </si>
  <si>
    <t>KARAER</t>
  </si>
  <si>
    <t>Erdal</t>
  </si>
  <si>
    <t>KENANG AZAMBOU</t>
  </si>
  <si>
    <t>KERBRAT</t>
  </si>
  <si>
    <t>KEREBEL</t>
  </si>
  <si>
    <t>Tania</t>
  </si>
  <si>
    <t>KHABIR</t>
  </si>
  <si>
    <t>Arshath-Ahamed</t>
  </si>
  <si>
    <t>KHEFFACHE</t>
  </si>
  <si>
    <t>Naël</t>
  </si>
  <si>
    <t>KHODJA</t>
  </si>
  <si>
    <t>KHORISSI</t>
  </si>
  <si>
    <t>Mohamed Lezhari</t>
  </si>
  <si>
    <t>KIALA NZUZI</t>
  </si>
  <si>
    <t>Jérémie</t>
  </si>
  <si>
    <t>KIBA</t>
  </si>
  <si>
    <t>Paul-Cephas</t>
  </si>
  <si>
    <t>KIMBEMBE</t>
  </si>
  <si>
    <t>Philippe</t>
  </si>
  <si>
    <t>KIRAT</t>
  </si>
  <si>
    <t>Denis</t>
  </si>
  <si>
    <t>KLOUKPO</t>
  </si>
  <si>
    <t>Ami Beatrice</t>
  </si>
  <si>
    <t>KOUIDER AKIL</t>
  </si>
  <si>
    <t>KOULOUBOUKA</t>
  </si>
  <si>
    <t>Kenny</t>
  </si>
  <si>
    <t>KRABCHI</t>
  </si>
  <si>
    <t>KUSALAVAN</t>
  </si>
  <si>
    <t>Prasanth</t>
  </si>
  <si>
    <t>L'AFFETER</t>
  </si>
  <si>
    <t>LABIDI</t>
  </si>
  <si>
    <t>Souhaib</t>
  </si>
  <si>
    <t>LACASTAIGNERATTE</t>
  </si>
  <si>
    <t>LAGRANGE</t>
  </si>
  <si>
    <t>LAHSSAINI</t>
  </si>
  <si>
    <t>LAKOUADSSI</t>
  </si>
  <si>
    <t>Riyad</t>
  </si>
  <si>
    <t>Ilias</t>
  </si>
  <si>
    <t>LAMOUCHE</t>
  </si>
  <si>
    <t>Timothé</t>
  </si>
  <si>
    <t>LAMOURI</t>
  </si>
  <si>
    <t>Redouane</t>
  </si>
  <si>
    <t>LAMRI</t>
  </si>
  <si>
    <t>LAOUDI</t>
  </si>
  <si>
    <t>LAPERT</t>
  </si>
  <si>
    <t>LARGOU</t>
  </si>
  <si>
    <t>Ilies</t>
  </si>
  <si>
    <t>LAURENT</t>
  </si>
  <si>
    <t>Manon</t>
  </si>
  <si>
    <t>LAVAUD</t>
  </si>
  <si>
    <t>Simon</t>
  </si>
  <si>
    <t>LE BOEDEC</t>
  </si>
  <si>
    <t>Robin</t>
  </si>
  <si>
    <t>LE CLERE</t>
  </si>
  <si>
    <t>LE HENAFF</t>
  </si>
  <si>
    <t>Claude</t>
  </si>
  <si>
    <t>LE NOIR</t>
  </si>
  <si>
    <t>Lény</t>
  </si>
  <si>
    <t>LE ROUX</t>
  </si>
  <si>
    <t>Xavier</t>
  </si>
  <si>
    <t>LE SAINT</t>
  </si>
  <si>
    <t>Loevan</t>
  </si>
  <si>
    <t>LEBLANC</t>
  </si>
  <si>
    <t>LEBOEUF</t>
  </si>
  <si>
    <t>LEHAUT</t>
  </si>
  <si>
    <t>Loup</t>
  </si>
  <si>
    <t>LEHNERTZ</t>
  </si>
  <si>
    <t>Florian</t>
  </si>
  <si>
    <t>LEPRIEUR</t>
  </si>
  <si>
    <t>LESAGE</t>
  </si>
  <si>
    <t>LETAIFA</t>
  </si>
  <si>
    <t>Marvin</t>
  </si>
  <si>
    <t>LHOMME</t>
  </si>
  <si>
    <t>Landry</t>
  </si>
  <si>
    <t>LIGER</t>
  </si>
  <si>
    <t>LIGNANI</t>
  </si>
  <si>
    <t>LIM</t>
  </si>
  <si>
    <t>Pascal</t>
  </si>
  <si>
    <t>LOCHET</t>
  </si>
  <si>
    <t>LOUIS</t>
  </si>
  <si>
    <t>Fébée</t>
  </si>
  <si>
    <t>LOUIS AIMEE</t>
  </si>
  <si>
    <t>Kévin</t>
  </si>
  <si>
    <t>LOZI</t>
  </si>
  <si>
    <t>Amina</t>
  </si>
  <si>
    <t>LUANGPRASEUTH</t>
  </si>
  <si>
    <t>Anna</t>
  </si>
  <si>
    <t>LUCHINI</t>
  </si>
  <si>
    <t>LUO</t>
  </si>
  <si>
    <t>LY</t>
  </si>
  <si>
    <t>Pauline Vuthlang</t>
  </si>
  <si>
    <t>M'RABET</t>
  </si>
  <si>
    <t>MAACHI</t>
  </si>
  <si>
    <t>MACEDO</t>
  </si>
  <si>
    <t>Yoann</t>
  </si>
  <si>
    <t>MAGLOIRE</t>
  </si>
  <si>
    <t>MAHALHAL</t>
  </si>
  <si>
    <t>MAHIN MOUSSA</t>
  </si>
  <si>
    <t>MAHMOUDI</t>
  </si>
  <si>
    <t>Amayas</t>
  </si>
  <si>
    <t>MAKHLOUFI</t>
  </si>
  <si>
    <t>Dalil</t>
  </si>
  <si>
    <t>MALANDRIN</t>
  </si>
  <si>
    <t>Titouan</t>
  </si>
  <si>
    <t>MAM III</t>
  </si>
  <si>
    <t>Jobb</t>
  </si>
  <si>
    <t>MAMPOUYA</t>
  </si>
  <si>
    <t>Charlyse</t>
  </si>
  <si>
    <t>MANE</t>
  </si>
  <si>
    <t>Abdoul-Aziz</t>
  </si>
  <si>
    <t>MARBEUF</t>
  </si>
  <si>
    <t>Michèle</t>
  </si>
  <si>
    <t>MARC</t>
  </si>
  <si>
    <t>Ruchebe</t>
  </si>
  <si>
    <t>MARCELIN</t>
  </si>
  <si>
    <t>Sydney</t>
  </si>
  <si>
    <t>MARCELLE</t>
  </si>
  <si>
    <t>Willy</t>
  </si>
  <si>
    <t>MARECHAUX</t>
  </si>
  <si>
    <t>Willem</t>
  </si>
  <si>
    <t>MARHROUF</t>
  </si>
  <si>
    <t>Ouafae</t>
  </si>
  <si>
    <t>MARIE</t>
  </si>
  <si>
    <t>Melvyn</t>
  </si>
  <si>
    <t>MAROT</t>
  </si>
  <si>
    <t>Jason</t>
  </si>
  <si>
    <t>MARQUES</t>
  </si>
  <si>
    <t>MARTIN</t>
  </si>
  <si>
    <t>Jimmy</t>
  </si>
  <si>
    <t>Brimal</t>
  </si>
  <si>
    <t>MARTINEAU</t>
  </si>
  <si>
    <t>Justin</t>
  </si>
  <si>
    <t>MARTINS</t>
  </si>
  <si>
    <t>MASCARY</t>
  </si>
  <si>
    <t>Jonathan</t>
  </si>
  <si>
    <t>MASSE</t>
  </si>
  <si>
    <t>MASSON</t>
  </si>
  <si>
    <t>MATAHRI</t>
  </si>
  <si>
    <t>MATHIEU</t>
  </si>
  <si>
    <t>Emma</t>
  </si>
  <si>
    <t>Anthony</t>
  </si>
  <si>
    <t>MATHURINE</t>
  </si>
  <si>
    <t>Yohann</t>
  </si>
  <si>
    <t>MBAYE</t>
  </si>
  <si>
    <t>Ndeye-Birima</t>
  </si>
  <si>
    <t>MEBREK</t>
  </si>
  <si>
    <t>MECHERI</t>
  </si>
  <si>
    <t>Sofian</t>
  </si>
  <si>
    <t>MEHDAOUI-JORGE</t>
  </si>
  <si>
    <t>Elias</t>
  </si>
  <si>
    <t>MEKDOUD</t>
  </si>
  <si>
    <t>Lyliane</t>
  </si>
  <si>
    <t>MELLALI</t>
  </si>
  <si>
    <t>Jassim</t>
  </si>
  <si>
    <t>MENCUCCINI</t>
  </si>
  <si>
    <t>MENDES</t>
  </si>
  <si>
    <t>Joaquim</t>
  </si>
  <si>
    <t>MENDES GOMES</t>
  </si>
  <si>
    <t>Bryan</t>
  </si>
  <si>
    <t>MENDES VARELA</t>
  </si>
  <si>
    <t>Adelsino</t>
  </si>
  <si>
    <t>MENDY</t>
  </si>
  <si>
    <t>Hyppolite</t>
  </si>
  <si>
    <t>MERESSE</t>
  </si>
  <si>
    <t>Maxence</t>
  </si>
  <si>
    <t>MESPOULET</t>
  </si>
  <si>
    <t>Gregoire</t>
  </si>
  <si>
    <t>MESSAI</t>
  </si>
  <si>
    <t>Rouida</t>
  </si>
  <si>
    <t>METRI</t>
  </si>
  <si>
    <t>MEYRAND</t>
  </si>
  <si>
    <t>MICHAMBLE</t>
  </si>
  <si>
    <t>MICHEL</t>
  </si>
  <si>
    <t>Matthieu</t>
  </si>
  <si>
    <t>MILLION-BRODAZ</t>
  </si>
  <si>
    <t>Dorian</t>
  </si>
  <si>
    <t>MINATCHY</t>
  </si>
  <si>
    <t>Loan</t>
  </si>
  <si>
    <t>MINORI</t>
  </si>
  <si>
    <t>Tristan</t>
  </si>
  <si>
    <t>MOHAMED</t>
  </si>
  <si>
    <t>MOHAMED RAFI</t>
  </si>
  <si>
    <t>Zahine</t>
  </si>
  <si>
    <t>MOHAMMAD</t>
  </si>
  <si>
    <t>MOKEDDEM</t>
  </si>
  <si>
    <t>MOMBO</t>
  </si>
  <si>
    <t>Darwin</t>
  </si>
  <si>
    <t>MOREAU</t>
  </si>
  <si>
    <t>Elric</t>
  </si>
  <si>
    <t>MORENO</t>
  </si>
  <si>
    <t>MORGAT</t>
  </si>
  <si>
    <t>MOUFID</t>
  </si>
  <si>
    <t>Abdelkarim</t>
  </si>
  <si>
    <t>MOUGAMMADOU ZACCARIA</t>
  </si>
  <si>
    <t>Zaafir</t>
  </si>
  <si>
    <t>MOUHIM</t>
  </si>
  <si>
    <t>MOURA</t>
  </si>
  <si>
    <t>Firdaousse</t>
  </si>
  <si>
    <t>MTALSI</t>
  </si>
  <si>
    <t>MUHAMMAD</t>
  </si>
  <si>
    <t>Umair</t>
  </si>
  <si>
    <t>MVAKANGA</t>
  </si>
  <si>
    <t>Jean-Marie</t>
  </si>
  <si>
    <t>MZOUGHI</t>
  </si>
  <si>
    <t>Ella</t>
  </si>
  <si>
    <t>N HAR</t>
  </si>
  <si>
    <t>N'AIT BOUFOUS</t>
  </si>
  <si>
    <t>N'DIAYE</t>
  </si>
  <si>
    <t>Souaibou</t>
  </si>
  <si>
    <t>NAFISA AMWEZE</t>
  </si>
  <si>
    <t>Rosy</t>
  </si>
  <si>
    <t>NAJI</t>
  </si>
  <si>
    <t>NAMOR</t>
  </si>
  <si>
    <t>Jordan</t>
  </si>
  <si>
    <t>NASR</t>
  </si>
  <si>
    <t>Abdalla</t>
  </si>
  <si>
    <t>NATAF</t>
  </si>
  <si>
    <t>Elie</t>
  </si>
  <si>
    <t>NDIONE</t>
  </si>
  <si>
    <t>Caroline</t>
  </si>
  <si>
    <t>NEGROUCHE</t>
  </si>
  <si>
    <t>Manel</t>
  </si>
  <si>
    <t>NGANKEU SANDJI</t>
  </si>
  <si>
    <t>Roche Sidney</t>
  </si>
  <si>
    <t>NGOUENET TALLA</t>
  </si>
  <si>
    <t>Gaetan Dimitri</t>
  </si>
  <si>
    <t>NGUYEN</t>
  </si>
  <si>
    <t>Minh Kha</t>
  </si>
  <si>
    <t>NGUYEN VAN BA</t>
  </si>
  <si>
    <t>Kenzo</t>
  </si>
  <si>
    <t>NIANGHANE</t>
  </si>
  <si>
    <t>Adame</t>
  </si>
  <si>
    <t>NICOLAU</t>
  </si>
  <si>
    <t>Marcel</t>
  </si>
  <si>
    <t>NIMAGA</t>
  </si>
  <si>
    <t>Djery</t>
  </si>
  <si>
    <t>NKOUDOU ESSOMBONO</t>
  </si>
  <si>
    <t>Raphaela</t>
  </si>
  <si>
    <t>NORZIELUS</t>
  </si>
  <si>
    <t>James</t>
  </si>
  <si>
    <t>NOULENGBE</t>
  </si>
  <si>
    <t>Nounamey</t>
  </si>
  <si>
    <t>NSUKULA NTOTO</t>
  </si>
  <si>
    <t>Béni Joseph</t>
  </si>
  <si>
    <t>NZEZA NDOMBASI</t>
  </si>
  <si>
    <t>Gédéon</t>
  </si>
  <si>
    <t>NZINGA</t>
  </si>
  <si>
    <t>OCCANSEY</t>
  </si>
  <si>
    <t>Komlan</t>
  </si>
  <si>
    <t>OMPHALIUS</t>
  </si>
  <si>
    <t>ORUBA</t>
  </si>
  <si>
    <t>Victoria</t>
  </si>
  <si>
    <t>OSSEUX</t>
  </si>
  <si>
    <t>Lenny</t>
  </si>
  <si>
    <t>OUALAD</t>
  </si>
  <si>
    <t>Kaoutar</t>
  </si>
  <si>
    <t>OUANASSI</t>
  </si>
  <si>
    <t>Zakaria</t>
  </si>
  <si>
    <t>OUATIK</t>
  </si>
  <si>
    <t>Khalid</t>
  </si>
  <si>
    <t>OUCHTAINE</t>
  </si>
  <si>
    <t>OUFKER</t>
  </si>
  <si>
    <t>OUSMAAL</t>
  </si>
  <si>
    <t>OUSSI</t>
  </si>
  <si>
    <t>Ismaël</t>
  </si>
  <si>
    <t>PADURET</t>
  </si>
  <si>
    <t>Stelian</t>
  </si>
  <si>
    <t>PAILLOU</t>
  </si>
  <si>
    <t>Jean-Maxime</t>
  </si>
  <si>
    <t>PALAMINI</t>
  </si>
  <si>
    <t>PALENZUELA</t>
  </si>
  <si>
    <t>Jeffrey</t>
  </si>
  <si>
    <t>PALVADEAU</t>
  </si>
  <si>
    <t>PANNETIER</t>
  </si>
  <si>
    <t>PASSOS DOS SANTOS</t>
  </si>
  <si>
    <t>PASTRE</t>
  </si>
  <si>
    <t>PATELAS</t>
  </si>
  <si>
    <t>PATHTHINATHAN</t>
  </si>
  <si>
    <t>Johnfildan</t>
  </si>
  <si>
    <t>PATOUT</t>
  </si>
  <si>
    <t>PAVILLA</t>
  </si>
  <si>
    <t>Leïla</t>
  </si>
  <si>
    <t>PENNARUN</t>
  </si>
  <si>
    <t>Justine</t>
  </si>
  <si>
    <t>PEREIRA</t>
  </si>
  <si>
    <t>Coralie</t>
  </si>
  <si>
    <t>PEREIRA DE PINHO</t>
  </si>
  <si>
    <t>PERRIN</t>
  </si>
  <si>
    <t>PERTEL</t>
  </si>
  <si>
    <t>Marie</t>
  </si>
  <si>
    <t>PEZZUTO</t>
  </si>
  <si>
    <t>Matheo</t>
  </si>
  <si>
    <t>PIGNARD</t>
  </si>
  <si>
    <t>PILLIAUDIN</t>
  </si>
  <si>
    <t>Barnabé</t>
  </si>
  <si>
    <t>PITENTII</t>
  </si>
  <si>
    <t>Vladislav</t>
  </si>
  <si>
    <t>POITOUT</t>
  </si>
  <si>
    <t>Kevan</t>
  </si>
  <si>
    <t>PREVOST</t>
  </si>
  <si>
    <t>Lilian</t>
  </si>
  <si>
    <t>PRIGENT</t>
  </si>
  <si>
    <t>QUENUM</t>
  </si>
  <si>
    <t>QUETER</t>
  </si>
  <si>
    <t>RACHEDI</t>
  </si>
  <si>
    <t>RAFIRINGA</t>
  </si>
  <si>
    <t>Evoeke</t>
  </si>
  <si>
    <t>RAHAL</t>
  </si>
  <si>
    <t>Isshak</t>
  </si>
  <si>
    <t>RAHIMALLY</t>
  </si>
  <si>
    <t>RAKOTOARISOA</t>
  </si>
  <si>
    <t>Ashley</t>
  </si>
  <si>
    <t>RAMA DOSS</t>
  </si>
  <si>
    <t>Denesh</t>
  </si>
  <si>
    <t>RAOUL</t>
  </si>
  <si>
    <t>RAYNAUD</t>
  </si>
  <si>
    <t>RAZAFINDRABE</t>
  </si>
  <si>
    <t>Harimanitra</t>
  </si>
  <si>
    <t>REKAYA</t>
  </si>
  <si>
    <t>Feres</t>
  </si>
  <si>
    <t>RENARD</t>
  </si>
  <si>
    <t>RENAUDIN</t>
  </si>
  <si>
    <t>RESETNIC</t>
  </si>
  <si>
    <t>Gheorghe</t>
  </si>
  <si>
    <t>RESTHERU LIYANARALALAGE COORAYRA</t>
  </si>
  <si>
    <t>Ehan</t>
  </si>
  <si>
    <t>REULET</t>
  </si>
  <si>
    <t>RHERBAOUI</t>
  </si>
  <si>
    <t>RIBEIRO</t>
  </si>
  <si>
    <t>RIBES</t>
  </si>
  <si>
    <t>Dragan</t>
  </si>
  <si>
    <t>RIGAUD</t>
  </si>
  <si>
    <t>RIVIERE</t>
  </si>
  <si>
    <t>RJAFELLAH</t>
  </si>
  <si>
    <t>Elyess</t>
  </si>
  <si>
    <t>RODIN</t>
  </si>
  <si>
    <t>Emile</t>
  </si>
  <si>
    <t>ROGUE</t>
  </si>
  <si>
    <t>ROSEE</t>
  </si>
  <si>
    <t>ROSSIGNOL</t>
  </si>
  <si>
    <t>Adelin</t>
  </si>
  <si>
    <t>ROUSSEAU</t>
  </si>
  <si>
    <t>Léna</t>
  </si>
  <si>
    <t>ROUYERE</t>
  </si>
  <si>
    <t>Clarisse</t>
  </si>
  <si>
    <t>ROZANSKI</t>
  </si>
  <si>
    <t>Dawid</t>
  </si>
  <si>
    <t>RUBINSTEIN TAVARES</t>
  </si>
  <si>
    <t>Alba</t>
  </si>
  <si>
    <t>RUIZ</t>
  </si>
  <si>
    <t>Cyprien</t>
  </si>
  <si>
    <t>SAADAT</t>
  </si>
  <si>
    <t>Martin</t>
  </si>
  <si>
    <t>SABIA</t>
  </si>
  <si>
    <t>Idriss</t>
  </si>
  <si>
    <t>SABIN</t>
  </si>
  <si>
    <t>SADI</t>
  </si>
  <si>
    <t>SADIK</t>
  </si>
  <si>
    <t>Rachid</t>
  </si>
  <si>
    <t>SADOU</t>
  </si>
  <si>
    <t>Djallal</t>
  </si>
  <si>
    <t>SAGHIR</t>
  </si>
  <si>
    <t>Aghiles</t>
  </si>
  <si>
    <t>SAID</t>
  </si>
  <si>
    <t>Mustapha</t>
  </si>
  <si>
    <t>SAIGHI</t>
  </si>
  <si>
    <t>SALAGEAN</t>
  </si>
  <si>
    <t>Bogdan</t>
  </si>
  <si>
    <t>SALVAN</t>
  </si>
  <si>
    <t>Grégory</t>
  </si>
  <si>
    <t>SAOUD</t>
  </si>
  <si>
    <t>Ezzat</t>
  </si>
  <si>
    <t>SARAVANAPAVANANTHAM</t>
  </si>
  <si>
    <t>Arultharan</t>
  </si>
  <si>
    <t>SAULNIER</t>
  </si>
  <si>
    <t>SCHMITT</t>
  </si>
  <si>
    <t>Léa</t>
  </si>
  <si>
    <t>SCHWITZGABEL</t>
  </si>
  <si>
    <t>Lara</t>
  </si>
  <si>
    <t>SEBA CHARDENAL</t>
  </si>
  <si>
    <t>Sacha</t>
  </si>
  <si>
    <t>SEGHDAU</t>
  </si>
  <si>
    <t>SEKHRI</t>
  </si>
  <si>
    <t>SEMEDO</t>
  </si>
  <si>
    <t>Elisa</t>
  </si>
  <si>
    <t>SENE</t>
  </si>
  <si>
    <t>Thibault</t>
  </si>
  <si>
    <t>SENOVILLE</t>
  </si>
  <si>
    <t>SETBON</t>
  </si>
  <si>
    <t>Menahem</t>
  </si>
  <si>
    <t>SFAR</t>
  </si>
  <si>
    <t>Ilyes</t>
  </si>
  <si>
    <t>SHAMRAIZ IQBAL</t>
  </si>
  <si>
    <t>Hasnat</t>
  </si>
  <si>
    <t>SIALE</t>
  </si>
  <si>
    <t>SIDIBE</t>
  </si>
  <si>
    <t>Abdoulaye</t>
  </si>
  <si>
    <t>SIF</t>
  </si>
  <si>
    <t>SILVA CAMPOS DIAS</t>
  </si>
  <si>
    <t>Moise</t>
  </si>
  <si>
    <t>SIMOES ROCHA</t>
  </si>
  <si>
    <t>Nuno Ricardo</t>
  </si>
  <si>
    <t>SIMSEK</t>
  </si>
  <si>
    <t>Lutfi</t>
  </si>
  <si>
    <t>SIROT</t>
  </si>
  <si>
    <t>Angel</t>
  </si>
  <si>
    <t>SIVAKARAN</t>
  </si>
  <si>
    <t>Steven</t>
  </si>
  <si>
    <t>SIVANESAN</t>
  </si>
  <si>
    <t>Vanagan</t>
  </si>
  <si>
    <t>SLAMA</t>
  </si>
  <si>
    <t>Johlan</t>
  </si>
  <si>
    <t>SMAIL</t>
  </si>
  <si>
    <t>Hicham</t>
  </si>
  <si>
    <t>SMAOUN</t>
  </si>
  <si>
    <t>Réda</t>
  </si>
  <si>
    <t>SORIN</t>
  </si>
  <si>
    <t>Benoit</t>
  </si>
  <si>
    <t>SOUCI</t>
  </si>
  <si>
    <t>SOULINTHAVONG</t>
  </si>
  <si>
    <t>Yann</t>
  </si>
  <si>
    <t>SOUSA ORTEGA</t>
  </si>
  <si>
    <t>Pedro</t>
  </si>
  <si>
    <t>SPASIC</t>
  </si>
  <si>
    <t>Veljko</t>
  </si>
  <si>
    <t>SROUSSI</t>
  </si>
  <si>
    <t>STEINMANN</t>
  </si>
  <si>
    <t>Joffrey</t>
  </si>
  <si>
    <t>SUON</t>
  </si>
  <si>
    <t>Rahman</t>
  </si>
  <si>
    <t>SUTHAHER</t>
  </si>
  <si>
    <t>Hemadhuran</t>
  </si>
  <si>
    <t>SYLLA</t>
  </si>
  <si>
    <t>TABET</t>
  </si>
  <si>
    <t>TALEB</t>
  </si>
  <si>
    <t>Nora</t>
  </si>
  <si>
    <t>TALSA TCHOUBIA</t>
  </si>
  <si>
    <t>Joëlle</t>
  </si>
  <si>
    <t>TAMBADOU</t>
  </si>
  <si>
    <t>Tidiane</t>
  </si>
  <si>
    <t>TAMGLIT</t>
  </si>
  <si>
    <t>TAMISIER</t>
  </si>
  <si>
    <t>Carlos</t>
  </si>
  <si>
    <t>TCHATAT</t>
  </si>
  <si>
    <t>Guy</t>
  </si>
  <si>
    <t>TCHATCHOUANG</t>
  </si>
  <si>
    <t>Emmanuel</t>
  </si>
  <si>
    <t>TCHEBOUN</t>
  </si>
  <si>
    <t>Malik</t>
  </si>
  <si>
    <t>TEBBAKHA</t>
  </si>
  <si>
    <t>TEKAYA</t>
  </si>
  <si>
    <t>Nouman</t>
  </si>
  <si>
    <t>THAN</t>
  </si>
  <si>
    <t>Mai</t>
  </si>
  <si>
    <t>THIERY--DEMANGEON</t>
  </si>
  <si>
    <t>THIOUNE</t>
  </si>
  <si>
    <t>Seydina</t>
  </si>
  <si>
    <t>THOMAS</t>
  </si>
  <si>
    <t>Loril</t>
  </si>
  <si>
    <t>THOMAZO</t>
  </si>
  <si>
    <t>Yohanan</t>
  </si>
  <si>
    <t>TIDAS</t>
  </si>
  <si>
    <t>Kenjy</t>
  </si>
  <si>
    <t>TINNIRELLO</t>
  </si>
  <si>
    <t>Livio</t>
  </si>
  <si>
    <t>TIOUASSIOUINE</t>
  </si>
  <si>
    <t>TOBIANSKY</t>
  </si>
  <si>
    <t>Keenan</t>
  </si>
  <si>
    <t>TOUATI</t>
  </si>
  <si>
    <t>Yossef</t>
  </si>
  <si>
    <t>TOURE</t>
  </si>
  <si>
    <t>Yacouba</t>
  </si>
  <si>
    <t>Hadama</t>
  </si>
  <si>
    <t>TOURNEUR</t>
  </si>
  <si>
    <t>TRABELSI</t>
  </si>
  <si>
    <t>Soulayma</t>
  </si>
  <si>
    <t>Mohamed-Ali</t>
  </si>
  <si>
    <t>TUEKAM TADIE</t>
  </si>
  <si>
    <t>Laetitia</t>
  </si>
  <si>
    <t>TURCK</t>
  </si>
  <si>
    <t>UNG</t>
  </si>
  <si>
    <t>UZAN</t>
  </si>
  <si>
    <t>VAILLANT</t>
  </si>
  <si>
    <t>VALLET</t>
  </si>
  <si>
    <t>VAN KERCKVOORDE</t>
  </si>
  <si>
    <t>VAROL</t>
  </si>
  <si>
    <t>Serhat</t>
  </si>
  <si>
    <t>VASSORT</t>
  </si>
  <si>
    <t>Cyril</t>
  </si>
  <si>
    <t>VAZIA</t>
  </si>
  <si>
    <t>VAZILLE</t>
  </si>
  <si>
    <t>Corto</t>
  </si>
  <si>
    <t>VELITCH</t>
  </si>
  <si>
    <t>VIEILLEVILLE</t>
  </si>
  <si>
    <t>Mathéo</t>
  </si>
  <si>
    <t>VIGLA</t>
  </si>
  <si>
    <t>Eric</t>
  </si>
  <si>
    <t>VIGNOLET</t>
  </si>
  <si>
    <t>Ulysse</t>
  </si>
  <si>
    <t>VINGADASSAMY</t>
  </si>
  <si>
    <t>Souria-Ranjinie</t>
  </si>
  <si>
    <t>VRIGNAUD</t>
  </si>
  <si>
    <t>WAEGENEIRE</t>
  </si>
  <si>
    <t>WAGNER</t>
  </si>
  <si>
    <t>WANG</t>
  </si>
  <si>
    <t>WAUTRIN</t>
  </si>
  <si>
    <t>WEHRLE</t>
  </si>
  <si>
    <t>WILSON</t>
  </si>
  <si>
    <t>Inessa</t>
  </si>
  <si>
    <t>WULFMAN</t>
  </si>
  <si>
    <t>YABI</t>
  </si>
  <si>
    <t>YAGOUBI</t>
  </si>
  <si>
    <t>YAHIA</t>
  </si>
  <si>
    <t>Ghayeth</t>
  </si>
  <si>
    <t>YAKEU CHAGHEN</t>
  </si>
  <si>
    <t>YAMINI</t>
  </si>
  <si>
    <t>Djamel</t>
  </si>
  <si>
    <t>YANDA</t>
  </si>
  <si>
    <t>Olha</t>
  </si>
  <si>
    <t>YASIN</t>
  </si>
  <si>
    <t>Arda</t>
  </si>
  <si>
    <t>YE</t>
  </si>
  <si>
    <t>Stéphane</t>
  </si>
  <si>
    <t>YENGO</t>
  </si>
  <si>
    <t>Sainthy Agapet</t>
  </si>
  <si>
    <t>YILDIZ</t>
  </si>
  <si>
    <t>YONG</t>
  </si>
  <si>
    <t>Tec Wing</t>
  </si>
  <si>
    <t>ZEMALI</t>
  </si>
  <si>
    <t>ZENAGUI</t>
  </si>
  <si>
    <t>ZHENG</t>
  </si>
  <si>
    <t>ZIANI</t>
  </si>
  <si>
    <t>Abdessamed</t>
  </si>
  <si>
    <t>ZIDELMAL</t>
  </si>
  <si>
    <t>Hamid</t>
  </si>
  <si>
    <t>ZINS</t>
  </si>
  <si>
    <t>ZINUTTI</t>
  </si>
  <si>
    <t>ZUKOWSKI</t>
  </si>
  <si>
    <t>Richard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</si>
</sst>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2"/>
      <color theme="1"/>
      <name val="Aptos Narrow"/>
      <family val="2"/>
      <scheme val="minor"/>
    </font>
    <font>
      <sz val="18"/>
      <color theme="1"/>
      <name val="Var(--font-fk-grotesk)"/>
    </font>
    <font>
      <sz val="16"/>
      <color theme="1"/>
      <name val="Roboto"/>
    </font>
    <font>
      <sz val="10.5"/>
      <color theme="1"/>
      <name val="Roboto"/>
    </font>
    <font>
      <i/>
      <sz val="16"/>
      <color theme="1"/>
      <name val="Roboto"/>
    </font>
    <font>
      <b/>
      <sz val="12"/>
      <color theme="1"/>
      <name val="Aptos Narrow"/>
      <family val="2"/>
      <scheme val="minor"/>
    </font>
    <font>
      <sz val="12"/>
      <color theme="1"/>
      <name val="Aptos Narrow"/>
      <family val="2"/>
      <scheme val="minor"/>
    </font>
    <font>
      <sz val="10"/>
      <color rgb="FF000000"/>
      <name val="Helvetica Neue"/>
      <family val="2"/>
    </font>
    <font>
      <b/>
      <sz val="10"/>
      <color rgb="FF000000"/>
      <name val="Helvetica Neue"/>
      <family val="2"/>
    </font>
    <font>
      <b/>
      <sz val="14"/>
      <color theme="1"/>
      <name val="Aptos Narrow (Corps)"/>
    </font>
    <font>
      <i/>
      <sz val="12"/>
      <color theme="1"/>
      <name val="Aptos Narrow"/>
      <family val="2"/>
      <scheme val="minor"/>
    </font>
    <font>
      <sz val="8"/>
      <name val="Aptos Narrow"/>
      <family val="2"/>
      <scheme val="minor"/>
    </font>
    <font>
      <sz val="8"/>
      <color theme="1"/>
      <name val="Aptos Narrow"/>
      <family val="2"/>
      <scheme val="minor"/>
    </font>
    <font>
      <b/>
      <sz val="10"/>
      <name val="Calibri"/>
      <family val="2"/>
    </font>
    <font>
      <sz val="10"/>
      <color rgb="FF6C6A7A"/>
      <name val="Arial"/>
      <family val="2"/>
    </font>
    <font>
      <b/>
      <sz val="20"/>
      <color theme="1"/>
      <name val="Aptos Narrow"/>
      <family val="2"/>
      <scheme val="minor"/>
    </font>
    <font>
      <b/>
      <sz val="14"/>
      <color theme="1"/>
      <name val="Aptos Narrow"/>
      <family val="2"/>
      <scheme val="minor"/>
    </font>
    <font>
      <sz val="14"/>
      <color theme="1"/>
      <name val="Aptos Narrow"/>
      <family val="2"/>
      <scheme val="minor"/>
    </font>
    <font>
      <b/>
      <sz val="14"/>
      <color theme="1"/>
      <name val="Calibri"/>
      <family val="2"/>
    </font>
    <font>
      <b/>
      <sz val="11"/>
      <color rgb="FF000000"/>
      <name val="Calibri"/>
      <family val="2"/>
    </font>
    <font>
      <sz val="12"/>
      <color theme="1"/>
      <name val="Calibri"/>
      <family val="2"/>
    </font>
    <font>
      <b/>
      <sz val="12"/>
      <color theme="1"/>
      <name val="Calibri"/>
      <family val="2"/>
    </font>
    <font>
      <i/>
      <sz val="10.5"/>
      <color theme="1"/>
      <name val="Calibri"/>
      <family val="2"/>
    </font>
    <font>
      <sz val="10.5"/>
      <color theme="1"/>
      <name val="Calibri"/>
      <family val="2"/>
    </font>
    <font>
      <i/>
      <sz val="12"/>
      <color theme="1"/>
      <name val="Calibri"/>
      <family val="2"/>
    </font>
    <font>
      <b/>
      <sz val="24"/>
      <color theme="1"/>
      <name val="Calibri"/>
      <family val="2"/>
    </font>
    <font>
      <b/>
      <sz val="10.5"/>
      <color theme="1"/>
      <name val="Calibri"/>
      <family val="2"/>
    </font>
    <font>
      <sz val="11"/>
      <color theme="1"/>
      <name val="Calibri"/>
      <family val="2"/>
    </font>
    <font>
      <sz val="10"/>
      <color theme="1"/>
      <name val="Calibri"/>
      <family val="2"/>
    </font>
    <font>
      <sz val="10"/>
      <name val="Calibri"/>
      <family val="2"/>
    </font>
    <font>
      <sz val="14"/>
      <color theme="1"/>
      <name val="Calibri"/>
      <family val="2"/>
    </font>
    <font>
      <b/>
      <sz val="11"/>
      <color theme="1"/>
      <name val="Calibri"/>
      <family val="2"/>
    </font>
    <font>
      <sz val="12"/>
      <color rgb="FF000000"/>
      <name val="Aptos Narrow"/>
      <family val="2"/>
    </font>
  </fonts>
  <fills count="12">
    <fill>
      <patternFill patternType="none"/>
    </fill>
    <fill>
      <patternFill patternType="gray125"/>
    </fill>
    <fill>
      <patternFill patternType="solid">
        <fgColor rgb="FFFFC000"/>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8" tint="0.79998168889431442"/>
        <bgColor indexed="64"/>
      </patternFill>
    </fill>
  </fills>
  <borders count="7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1" tint="0.499984740745262"/>
      </top>
      <bottom/>
      <diagonal/>
    </border>
    <border>
      <left style="hair">
        <color theme="1" tint="0.24994659260841701"/>
      </left>
      <right style="hair">
        <color theme="1" tint="0.24994659260841701"/>
      </right>
      <top style="thin">
        <color theme="1" tint="0.499984740745262"/>
      </top>
      <bottom/>
      <diagonal/>
    </border>
    <border>
      <left style="hair">
        <color theme="1" tint="0.24994659260841701"/>
      </left>
      <right style="hair">
        <color theme="1" tint="0.24994659260841701"/>
      </right>
      <top/>
      <bottom/>
      <diagonal/>
    </border>
    <border>
      <left style="hair">
        <color theme="1" tint="0.24994659260841701"/>
      </left>
      <right style="hair">
        <color theme="1" tint="0.24994659260841701"/>
      </right>
      <top/>
      <bottom style="thin">
        <color theme="1" tint="0.499984740745262"/>
      </bottom>
      <diagonal/>
    </border>
    <border>
      <left style="hair">
        <color theme="1" tint="0.24994659260841701"/>
      </left>
      <right/>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000000"/>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medium">
        <color rgb="FF000000"/>
      </top>
      <bottom style="thin">
        <color indexed="64"/>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indexed="64"/>
      </left>
      <right style="medium">
        <color indexed="64"/>
      </right>
      <top/>
      <bottom style="medium">
        <color indexed="64"/>
      </bottom>
      <diagonal/>
    </border>
    <border>
      <left style="medium">
        <color rgb="FF000000"/>
      </left>
      <right style="thin">
        <color indexed="64"/>
      </right>
      <top style="thin">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right style="medium">
        <color indexed="64"/>
      </right>
      <top style="thin">
        <color rgb="FF000000"/>
      </top>
      <bottom style="medium">
        <color indexed="64"/>
      </bottom>
      <diagonal/>
    </border>
    <border>
      <left style="thin">
        <color indexed="64"/>
      </left>
      <right style="medium">
        <color rgb="FF000000"/>
      </right>
      <top style="thin">
        <color indexed="64"/>
      </top>
      <bottom/>
      <diagonal/>
    </border>
  </borders>
  <cellStyleXfs count="1">
    <xf numFmtId="0" fontId="0" fillId="0" borderId="0"/>
  </cellStyleXfs>
  <cellXfs count="197">
    <xf numFmtId="0" fontId="0" fillId="0" borderId="0" xfId="0"/>
    <xf numFmtId="0" fontId="0" fillId="0" borderId="3" xfId="0" applyBorder="1"/>
    <xf numFmtId="0" fontId="0" fillId="0" borderId="4" xfId="0" applyBorder="1"/>
    <xf numFmtId="0" fontId="2" fillId="0" borderId="5" xfId="0" applyFont="1" applyBorder="1"/>
    <xf numFmtId="0" fontId="0" fillId="0" borderId="6" xfId="0" applyBorder="1"/>
    <xf numFmtId="0" fontId="0" fillId="0" borderId="5" xfId="0" applyBorder="1"/>
    <xf numFmtId="0" fontId="0" fillId="0" borderId="7" xfId="0" applyBorder="1"/>
    <xf numFmtId="0" fontId="3" fillId="0" borderId="8" xfId="0" applyFont="1" applyBorder="1"/>
    <xf numFmtId="0" fontId="0" fillId="0" borderId="8" xfId="0" applyBorder="1"/>
    <xf numFmtId="0" fontId="0" fillId="0" borderId="10" xfId="0" applyBorder="1"/>
    <xf numFmtId="0" fontId="0" fillId="0" borderId="11" xfId="0" applyBorder="1"/>
    <xf numFmtId="0" fontId="4" fillId="0" borderId="12" xfId="0" applyFont="1" applyBorder="1" applyAlignment="1">
      <alignment wrapText="1"/>
    </xf>
    <xf numFmtId="0" fontId="1" fillId="0" borderId="15" xfId="0" applyFont="1" applyBorder="1"/>
    <xf numFmtId="0" fontId="0" fillId="0" borderId="16" xfId="0" applyBorder="1"/>
    <xf numFmtId="0" fontId="0" fillId="0" borderId="17" xfId="0" applyBorder="1"/>
    <xf numFmtId="0" fontId="3" fillId="0" borderId="9" xfId="0" applyFont="1" applyBorder="1"/>
    <xf numFmtId="0" fontId="3" fillId="0" borderId="10" xfId="0" applyFont="1" applyBorder="1"/>
    <xf numFmtId="0" fontId="3" fillId="0" borderId="11" xfId="0" applyFont="1" applyBorder="1"/>
    <xf numFmtId="0" fontId="3" fillId="0" borderId="18" xfId="0" applyFont="1" applyBorder="1"/>
    <xf numFmtId="0" fontId="0" fillId="0" borderId="19" xfId="0" applyBorder="1"/>
    <xf numFmtId="0" fontId="3" fillId="0" borderId="12" xfId="0" applyFont="1" applyBorder="1"/>
    <xf numFmtId="0" fontId="0" fillId="0" borderId="20" xfId="0" applyBorder="1"/>
    <xf numFmtId="0" fontId="0" fillId="0" borderId="21" xfId="0" applyBorder="1"/>
    <xf numFmtId="0" fontId="0" fillId="0" borderId="23" xfId="0" applyBorder="1"/>
    <xf numFmtId="0" fontId="6" fillId="0" borderId="5" xfId="0" applyFont="1" applyBorder="1"/>
    <xf numFmtId="0" fontId="0" fillId="0" borderId="15" xfId="0" applyBorder="1"/>
    <xf numFmtId="0" fontId="4" fillId="0" borderId="24" xfId="0" applyFont="1" applyBorder="1" applyAlignment="1">
      <alignment wrapText="1"/>
    </xf>
    <xf numFmtId="0" fontId="0" fillId="0" borderId="25" xfId="0" applyBorder="1"/>
    <xf numFmtId="10" fontId="0" fillId="0" borderId="1" xfId="0" applyNumberFormat="1" applyBorder="1"/>
    <xf numFmtId="0" fontId="0" fillId="0" borderId="0" xfId="0" applyAlignment="1">
      <alignment wrapText="1"/>
    </xf>
    <xf numFmtId="0" fontId="8" fillId="0" borderId="0" xfId="0" applyFont="1"/>
    <xf numFmtId="0" fontId="7" fillId="0" borderId="0" xfId="0" applyFont="1"/>
    <xf numFmtId="0" fontId="9" fillId="0" borderId="26" xfId="0" applyFont="1" applyBorder="1"/>
    <xf numFmtId="0" fontId="0" fillId="0" borderId="27" xfId="0" applyBorder="1"/>
    <xf numFmtId="0" fontId="0" fillId="4" borderId="8" xfId="0" applyFill="1" applyBorder="1"/>
    <xf numFmtId="0" fontId="5" fillId="4" borderId="8" xfId="0" applyFont="1" applyFill="1" applyBorder="1"/>
    <xf numFmtId="0" fontId="3" fillId="2" borderId="8" xfId="0" applyFont="1" applyFill="1" applyBorder="1"/>
    <xf numFmtId="0" fontId="3" fillId="0" borderId="19" xfId="0" applyFont="1" applyBorder="1"/>
    <xf numFmtId="0" fontId="3" fillId="0" borderId="14" xfId="0" applyFont="1" applyBorder="1"/>
    <xf numFmtId="0" fontId="2" fillId="0" borderId="9" xfId="0" applyFont="1" applyBorder="1"/>
    <xf numFmtId="0" fontId="3" fillId="3" borderId="8" xfId="0" applyFont="1" applyFill="1" applyBorder="1"/>
    <xf numFmtId="0" fontId="2" fillId="0" borderId="22" xfId="0" applyFont="1" applyBorder="1"/>
    <xf numFmtId="0" fontId="2" fillId="0" borderId="2" xfId="0" applyFont="1" applyBorder="1"/>
    <xf numFmtId="0" fontId="2" fillId="0" borderId="1" xfId="0" applyFont="1" applyBorder="1"/>
    <xf numFmtId="0" fontId="2" fillId="0" borderId="15" xfId="0" applyFont="1" applyBorder="1"/>
    <xf numFmtId="0" fontId="3" fillId="3" borderId="13" xfId="0" applyFont="1" applyFill="1" applyBorder="1"/>
    <xf numFmtId="0" fontId="0" fillId="6" borderId="0" xfId="0" applyFill="1" applyAlignment="1">
      <alignment wrapText="1"/>
    </xf>
    <xf numFmtId="0" fontId="3" fillId="6" borderId="0" xfId="0" applyFont="1" applyFill="1" applyAlignment="1">
      <alignment wrapText="1"/>
    </xf>
    <xf numFmtId="0" fontId="3" fillId="5" borderId="0" xfId="0" applyFont="1" applyFill="1" applyAlignment="1">
      <alignment wrapText="1"/>
    </xf>
    <xf numFmtId="0" fontId="0" fillId="5" borderId="0" xfId="0" applyFill="1" applyAlignment="1">
      <alignment wrapText="1"/>
    </xf>
    <xf numFmtId="0" fontId="2" fillId="0" borderId="22" xfId="0" applyFont="1" applyBorder="1" applyAlignment="1">
      <alignment wrapText="1"/>
    </xf>
    <xf numFmtId="0" fontId="2" fillId="0" borderId="1" xfId="0" applyFont="1" applyBorder="1" applyAlignment="1">
      <alignment wrapText="1"/>
    </xf>
    <xf numFmtId="0" fontId="2" fillId="0" borderId="15" xfId="0" applyFont="1" applyBorder="1" applyAlignment="1">
      <alignment wrapText="1"/>
    </xf>
    <xf numFmtId="0" fontId="0" fillId="0" borderId="0" xfId="0" applyAlignment="1">
      <alignment horizontal="center" wrapText="1"/>
    </xf>
    <xf numFmtId="0" fontId="0" fillId="0" borderId="0" xfId="0" applyAlignment="1">
      <alignment vertical="center" wrapText="1"/>
    </xf>
    <xf numFmtId="0" fontId="0" fillId="6" borderId="0" xfId="0" quotePrefix="1" applyFill="1" applyAlignment="1">
      <alignment wrapText="1"/>
    </xf>
    <xf numFmtId="0" fontId="0" fillId="0" borderId="0" xfId="0" quotePrefix="1" applyAlignment="1">
      <alignment wrapText="1"/>
    </xf>
    <xf numFmtId="0" fontId="10" fillId="5" borderId="0" xfId="0" applyFont="1" applyFill="1" applyAlignment="1">
      <alignment wrapText="1"/>
    </xf>
    <xf numFmtId="0" fontId="10" fillId="6" borderId="0" xfId="0" applyFont="1" applyFill="1" applyAlignment="1">
      <alignment wrapText="1"/>
    </xf>
    <xf numFmtId="0" fontId="0" fillId="7" borderId="0" xfId="0" applyFill="1" applyAlignment="1">
      <alignment wrapText="1"/>
    </xf>
    <xf numFmtId="0" fontId="0" fillId="7" borderId="0" xfId="0" applyFill="1" applyAlignment="1">
      <alignment vertical="center" wrapText="1"/>
    </xf>
    <xf numFmtId="49" fontId="0" fillId="7" borderId="0" xfId="0" applyNumberFormat="1" applyFill="1" applyAlignment="1">
      <alignment horizontal="center" wrapText="1"/>
    </xf>
    <xf numFmtId="49" fontId="0" fillId="0" borderId="0" xfId="0" applyNumberFormat="1" applyAlignment="1">
      <alignment horizontal="center" vertical="center" wrapText="1"/>
    </xf>
    <xf numFmtId="49" fontId="0" fillId="7" borderId="0" xfId="0" applyNumberFormat="1" applyFill="1" applyAlignment="1">
      <alignment horizontal="center" vertical="center" wrapText="1"/>
    </xf>
    <xf numFmtId="49" fontId="3" fillId="0" borderId="0" xfId="0" applyNumberFormat="1" applyFont="1" applyAlignment="1">
      <alignment horizontal="center" vertical="center" wrapText="1"/>
    </xf>
    <xf numFmtId="49" fontId="10" fillId="0" borderId="0" xfId="0" applyNumberFormat="1" applyFont="1" applyAlignment="1">
      <alignment horizontal="center" vertical="center" wrapText="1"/>
    </xf>
    <xf numFmtId="49" fontId="0" fillId="0" borderId="20" xfId="0" applyNumberFormat="1" applyBorder="1" applyAlignment="1">
      <alignment horizontal="center" vertical="center" wrapText="1"/>
    </xf>
    <xf numFmtId="49" fontId="0" fillId="0" borderId="21" xfId="0" applyNumberFormat="1" applyBorder="1" applyAlignment="1">
      <alignment horizontal="center" vertical="center" wrapText="1"/>
    </xf>
    <xf numFmtId="49" fontId="2" fillId="0" borderId="1" xfId="0" applyNumberFormat="1" applyFont="1" applyBorder="1" applyAlignment="1">
      <alignment horizontal="center" vertical="center" wrapText="1"/>
    </xf>
    <xf numFmtId="0" fontId="0" fillId="7" borderId="0" xfId="0" applyFill="1" applyAlignment="1">
      <alignment horizontal="center" wrapText="1"/>
    </xf>
    <xf numFmtId="0" fontId="0" fillId="0" borderId="0" xfId="0" applyAlignment="1">
      <alignment horizontal="center"/>
    </xf>
    <xf numFmtId="0" fontId="0" fillId="0" borderId="0" xfId="0" quotePrefix="1" applyAlignment="1">
      <alignment horizontal="center"/>
    </xf>
    <xf numFmtId="0" fontId="0" fillId="8" borderId="0" xfId="0" applyFill="1" applyAlignment="1">
      <alignment horizontal="center"/>
    </xf>
    <xf numFmtId="0" fontId="0" fillId="8" borderId="0" xfId="0" quotePrefix="1" applyFill="1" applyAlignment="1">
      <alignment horizontal="center"/>
    </xf>
    <xf numFmtId="0" fontId="0" fillId="9" borderId="0" xfId="0" applyFill="1" applyAlignment="1">
      <alignment horizontal="center"/>
    </xf>
    <xf numFmtId="0" fontId="0" fillId="9" borderId="0" xfId="0" applyFill="1" applyAlignment="1">
      <alignment horizontal="center" wrapText="1"/>
    </xf>
    <xf numFmtId="49" fontId="0" fillId="9" borderId="0" xfId="0" applyNumberFormat="1" applyFill="1" applyAlignment="1">
      <alignment horizontal="center" vertical="center" wrapText="1"/>
    </xf>
    <xf numFmtId="49" fontId="0" fillId="6" borderId="0" xfId="0" applyNumberFormat="1" applyFill="1" applyAlignment="1">
      <alignment horizontal="center" vertical="center" wrapText="1"/>
    </xf>
    <xf numFmtId="49" fontId="0" fillId="8" borderId="0" xfId="0" quotePrefix="1" applyNumberFormat="1" applyFill="1" applyAlignment="1">
      <alignment horizontal="center"/>
    </xf>
    <xf numFmtId="49" fontId="0" fillId="0" borderId="0" xfId="0" quotePrefix="1" applyNumberFormat="1" applyAlignment="1">
      <alignment horizontal="center"/>
    </xf>
    <xf numFmtId="49" fontId="5" fillId="7" borderId="0" xfId="0" applyNumberFormat="1" applyFont="1" applyFill="1" applyAlignment="1">
      <alignment horizontal="center" vertical="center" wrapText="1"/>
    </xf>
    <xf numFmtId="0" fontId="3" fillId="6" borderId="0" xfId="0" applyFont="1" applyFill="1" applyAlignment="1">
      <alignment vertical="center" wrapText="1"/>
    </xf>
    <xf numFmtId="0" fontId="0" fillId="6" borderId="0" xfId="0" applyFill="1" applyAlignment="1">
      <alignment vertical="center" wrapText="1"/>
    </xf>
    <xf numFmtId="0" fontId="3" fillId="5" borderId="0" xfId="0" applyFont="1" applyFill="1" applyAlignment="1">
      <alignment vertical="center" wrapText="1"/>
    </xf>
    <xf numFmtId="49" fontId="0" fillId="8" borderId="0" xfId="0" applyNumberFormat="1" applyFill="1" applyAlignment="1">
      <alignment horizontal="center"/>
    </xf>
    <xf numFmtId="0" fontId="0" fillId="0" borderId="0" xfId="0" applyAlignment="1">
      <alignment horizontal="center" vertical="center" wrapText="1"/>
    </xf>
    <xf numFmtId="0" fontId="15" fillId="0" borderId="0" xfId="0" applyFont="1"/>
    <xf numFmtId="0" fontId="16" fillId="0" borderId="0" xfId="0" applyFont="1"/>
    <xf numFmtId="0" fontId="17" fillId="0" borderId="0" xfId="0" applyFont="1"/>
    <xf numFmtId="0" fontId="0" fillId="0" borderId="0" xfId="0" applyAlignment="1">
      <alignment horizontal="right"/>
    </xf>
    <xf numFmtId="0" fontId="0" fillId="0" borderId="0" xfId="0" applyAlignment="1">
      <alignment horizontal="left" vertical="center"/>
    </xf>
    <xf numFmtId="0" fontId="5" fillId="0" borderId="0" xfId="0" applyFont="1"/>
    <xf numFmtId="0" fontId="10" fillId="0" borderId="0" xfId="0" applyFont="1"/>
    <xf numFmtId="0" fontId="5" fillId="0" borderId="26" xfId="0" applyFont="1" applyBorder="1"/>
    <xf numFmtId="0" fontId="5" fillId="0" borderId="33" xfId="0" applyFont="1" applyBorder="1"/>
    <xf numFmtId="0" fontId="5" fillId="0" borderId="27" xfId="0" applyFont="1" applyBorder="1"/>
    <xf numFmtId="0" fontId="0" fillId="0" borderId="34" xfId="0" applyBorder="1"/>
    <xf numFmtId="0" fontId="0" fillId="0" borderId="35" xfId="0" applyBorder="1"/>
    <xf numFmtId="0" fontId="0" fillId="0" borderId="36" xfId="0" applyBorder="1"/>
    <xf numFmtId="0" fontId="0" fillId="0" borderId="18" xfId="0" applyBorder="1"/>
    <xf numFmtId="0" fontId="0" fillId="0" borderId="12" xfId="0" applyBorder="1"/>
    <xf numFmtId="0" fontId="0" fillId="0" borderId="13" xfId="0" applyBorder="1"/>
    <xf numFmtId="0" fontId="0" fillId="0" borderId="14" xfId="0" applyBorder="1"/>
    <xf numFmtId="0" fontId="18" fillId="0" borderId="0" xfId="0" applyFont="1"/>
    <xf numFmtId="0" fontId="20" fillId="0" borderId="0" xfId="0" applyFont="1"/>
    <xf numFmtId="0" fontId="22" fillId="0" borderId="0" xfId="0" applyFont="1"/>
    <xf numFmtId="0" fontId="21" fillId="0" borderId="0" xfId="0" applyFont="1"/>
    <xf numFmtId="0" fontId="20" fillId="0" borderId="0" xfId="0" applyFont="1" applyAlignment="1">
      <alignment horizontal="center" vertical="center"/>
    </xf>
    <xf numFmtId="0" fontId="24" fillId="0" borderId="0" xfId="0" applyFont="1"/>
    <xf numFmtId="0" fontId="25" fillId="0" borderId="0" xfId="0" applyFont="1" applyAlignment="1">
      <alignment horizontal="center"/>
    </xf>
    <xf numFmtId="0" fontId="21" fillId="0" borderId="40" xfId="0" applyFont="1" applyBorder="1" applyAlignment="1">
      <alignment horizontal="center" vertical="center"/>
    </xf>
    <xf numFmtId="0" fontId="21" fillId="0" borderId="41" xfId="0" applyFont="1" applyBorder="1" applyAlignment="1">
      <alignment horizontal="center" vertical="center"/>
    </xf>
    <xf numFmtId="0" fontId="21" fillId="0" borderId="42" xfId="0" applyFont="1" applyBorder="1" applyAlignment="1">
      <alignment horizontal="center" vertical="center"/>
    </xf>
    <xf numFmtId="0" fontId="21" fillId="5" borderId="25" xfId="0" applyFont="1" applyFill="1" applyBorder="1" applyAlignment="1">
      <alignment horizontal="center" vertical="center"/>
    </xf>
    <xf numFmtId="0" fontId="21" fillId="6" borderId="47" xfId="0" applyFont="1" applyFill="1" applyBorder="1" applyAlignment="1">
      <alignment horizontal="center" vertical="center"/>
    </xf>
    <xf numFmtId="0" fontId="27" fillId="0" borderId="52" xfId="0" applyFont="1" applyBorder="1"/>
    <xf numFmtId="0" fontId="27" fillId="0" borderId="0" xfId="0" applyFont="1" applyAlignment="1">
      <alignment horizontal="center" vertical="center"/>
    </xf>
    <xf numFmtId="0" fontId="30" fillId="0" borderId="0" xfId="0" applyFont="1"/>
    <xf numFmtId="0" fontId="27" fillId="0" borderId="0" xfId="0" applyFont="1"/>
    <xf numFmtId="0" fontId="31" fillId="0" borderId="48" xfId="0" applyFont="1" applyBorder="1"/>
    <xf numFmtId="0" fontId="28" fillId="0" borderId="53" xfId="0" applyFont="1" applyBorder="1" applyAlignment="1">
      <alignment wrapText="1"/>
    </xf>
    <xf numFmtId="0" fontId="29" fillId="0" borderId="53" xfId="0" applyFont="1" applyBorder="1" applyAlignment="1">
      <alignment wrapText="1"/>
    </xf>
    <xf numFmtId="0" fontId="23" fillId="0" borderId="0" xfId="0" applyFont="1"/>
    <xf numFmtId="0" fontId="31" fillId="0" borderId="55" xfId="0" applyFont="1" applyBorder="1"/>
    <xf numFmtId="0" fontId="23" fillId="0" borderId="0" xfId="0" applyFont="1" applyAlignment="1">
      <alignment horizontal="center" vertical="center"/>
    </xf>
    <xf numFmtId="0" fontId="10" fillId="5" borderId="59" xfId="0" applyFont="1" applyFill="1" applyBorder="1" applyAlignment="1">
      <alignment wrapText="1"/>
    </xf>
    <xf numFmtId="0" fontId="10" fillId="6" borderId="1" xfId="0" applyFont="1" applyFill="1" applyBorder="1" applyAlignment="1">
      <alignment wrapText="1"/>
    </xf>
    <xf numFmtId="0" fontId="27" fillId="6" borderId="8" xfId="0" applyFont="1" applyFill="1" applyBorder="1" applyAlignment="1">
      <alignment horizontal="center" vertical="center" wrapText="1"/>
    </xf>
    <xf numFmtId="0" fontId="27" fillId="10" borderId="61" xfId="0" applyFont="1" applyFill="1" applyBorder="1"/>
    <xf numFmtId="0" fontId="27" fillId="10" borderId="62" xfId="0" applyFont="1" applyFill="1" applyBorder="1"/>
    <xf numFmtId="0" fontId="26" fillId="0" borderId="9" xfId="0" applyFont="1" applyBorder="1"/>
    <xf numFmtId="0" fontId="28" fillId="0" borderId="18" xfId="0" applyFont="1" applyBorder="1"/>
    <xf numFmtId="0" fontId="27" fillId="6" borderId="19" xfId="0" applyFont="1" applyFill="1" applyBorder="1" applyAlignment="1">
      <alignment horizontal="center" vertical="center" wrapText="1"/>
    </xf>
    <xf numFmtId="0" fontId="27" fillId="6" borderId="69" xfId="0" applyFont="1" applyFill="1" applyBorder="1" applyAlignment="1">
      <alignment horizontal="center" vertical="center" wrapText="1"/>
    </xf>
    <xf numFmtId="0" fontId="27" fillId="6" borderId="70" xfId="0" applyFont="1" applyFill="1" applyBorder="1" applyAlignment="1">
      <alignment horizontal="center" vertical="center" wrapText="1"/>
    </xf>
    <xf numFmtId="0" fontId="27" fillId="0" borderId="71" xfId="0" applyFont="1" applyBorder="1" applyAlignment="1">
      <alignment horizontal="center" vertical="center"/>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8" fillId="0" borderId="60" xfId="0" applyFont="1" applyBorder="1" applyAlignment="1">
      <alignment wrapText="1"/>
    </xf>
    <xf numFmtId="0" fontId="27" fillId="5" borderId="8" xfId="0" applyFont="1" applyFill="1" applyBorder="1" applyAlignment="1">
      <alignment horizontal="center" vertical="center"/>
    </xf>
    <xf numFmtId="0" fontId="27" fillId="5" borderId="54" xfId="0" applyFont="1" applyFill="1" applyBorder="1" applyAlignment="1">
      <alignment horizontal="center" vertical="center"/>
    </xf>
    <xf numFmtId="0" fontId="27" fillId="5" borderId="69" xfId="0" applyFont="1" applyFill="1" applyBorder="1" applyAlignment="1">
      <alignment horizontal="center" vertical="center" wrapText="1"/>
    </xf>
    <xf numFmtId="0" fontId="27" fillId="5" borderId="70" xfId="0" applyFont="1" applyFill="1" applyBorder="1" applyAlignment="1">
      <alignment horizontal="center" vertical="center" wrapText="1"/>
    </xf>
    <xf numFmtId="0" fontId="27" fillId="5" borderId="69" xfId="0" applyFont="1" applyFill="1" applyBorder="1" applyAlignment="1">
      <alignment horizontal="center" vertical="center"/>
    </xf>
    <xf numFmtId="0" fontId="27" fillId="5" borderId="76" xfId="0" applyFont="1" applyFill="1" applyBorder="1" applyAlignment="1">
      <alignment horizontal="center" vertical="center"/>
    </xf>
    <xf numFmtId="0" fontId="27" fillId="11" borderId="74" xfId="0" applyFont="1" applyFill="1" applyBorder="1" applyAlignment="1">
      <alignment horizontal="center" vertical="center"/>
    </xf>
    <xf numFmtId="0" fontId="27" fillId="11" borderId="67" xfId="0" applyFont="1" applyFill="1" applyBorder="1" applyAlignment="1">
      <alignment horizontal="center" vertical="center"/>
    </xf>
    <xf numFmtId="0" fontId="27" fillId="11" borderId="68" xfId="0" applyFont="1" applyFill="1" applyBorder="1" applyAlignment="1">
      <alignment horizontal="center" vertical="center"/>
    </xf>
    <xf numFmtId="0" fontId="27" fillId="11" borderId="66" xfId="0" applyFont="1" applyFill="1" applyBorder="1" applyAlignment="1">
      <alignment horizontal="center" vertical="center"/>
    </xf>
    <xf numFmtId="0" fontId="27" fillId="11" borderId="75" xfId="0" applyFont="1" applyFill="1" applyBorder="1" applyAlignment="1">
      <alignment horizontal="center" vertical="center"/>
    </xf>
    <xf numFmtId="0" fontId="3" fillId="0" borderId="0" xfId="0" applyFont="1" applyAlignment="1">
      <alignment horizontal="center" vertical="center" wrapText="1"/>
    </xf>
    <xf numFmtId="0" fontId="5" fillId="0" borderId="1" xfId="0" applyFont="1" applyBorder="1" applyAlignment="1">
      <alignment horizontal="center"/>
    </xf>
    <xf numFmtId="0" fontId="26" fillId="5" borderId="52" xfId="0" applyFont="1" applyFill="1" applyBorder="1"/>
    <xf numFmtId="0" fontId="21" fillId="5" borderId="46" xfId="0" applyFont="1" applyFill="1" applyBorder="1" applyAlignment="1">
      <alignment horizontal="center" vertical="center"/>
    </xf>
    <xf numFmtId="0" fontId="27" fillId="5" borderId="8" xfId="0" applyFont="1" applyFill="1" applyBorder="1" applyAlignment="1">
      <alignment horizontal="center" vertical="center" wrapText="1"/>
    </xf>
    <xf numFmtId="0" fontId="27" fillId="5" borderId="19" xfId="0" applyFont="1" applyFill="1" applyBorder="1" applyAlignment="1">
      <alignment horizontal="center" vertical="center" wrapText="1"/>
    </xf>
    <xf numFmtId="0" fontId="0" fillId="0" borderId="0" xfId="0" applyAlignment="1">
      <alignment horizontal="left"/>
    </xf>
    <xf numFmtId="0" fontId="10" fillId="0" borderId="0" xfId="0" applyFont="1" applyAlignment="1">
      <alignment horizontal="left"/>
    </xf>
    <xf numFmtId="0" fontId="5" fillId="0" borderId="15" xfId="0" applyFont="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0" fontId="20" fillId="8" borderId="43" xfId="0" applyFont="1" applyFill="1" applyBorder="1" applyAlignment="1">
      <alignment horizontal="center" vertical="center"/>
    </xf>
    <xf numFmtId="0" fontId="20" fillId="8" borderId="44" xfId="0" applyFont="1" applyFill="1" applyBorder="1" applyAlignment="1">
      <alignment horizontal="center" vertical="center"/>
    </xf>
    <xf numFmtId="0" fontId="20" fillId="8" borderId="45" xfId="0" applyFont="1" applyFill="1" applyBorder="1" applyAlignment="1">
      <alignment horizontal="center" vertical="center"/>
    </xf>
    <xf numFmtId="0" fontId="31" fillId="0" borderId="56" xfId="0" applyFont="1" applyBorder="1" applyAlignment="1">
      <alignment horizontal="center" vertical="center"/>
    </xf>
    <xf numFmtId="0" fontId="31" fillId="0" borderId="57" xfId="0" applyFont="1" applyBorder="1" applyAlignment="1">
      <alignment horizontal="center" vertical="center"/>
    </xf>
    <xf numFmtId="0" fontId="31" fillId="0" borderId="58" xfId="0" applyFont="1" applyBorder="1" applyAlignment="1">
      <alignment horizontal="center" vertical="center"/>
    </xf>
    <xf numFmtId="0" fontId="31" fillId="0" borderId="49" xfId="0" applyFont="1" applyBorder="1" applyAlignment="1">
      <alignment horizontal="center" vertical="center"/>
    </xf>
    <xf numFmtId="0" fontId="31" fillId="0" borderId="50" xfId="0" applyFont="1" applyBorder="1" applyAlignment="1">
      <alignment horizontal="center" vertical="center"/>
    </xf>
    <xf numFmtId="0" fontId="31" fillId="0" borderId="51" xfId="0" applyFont="1" applyBorder="1" applyAlignment="1">
      <alignment horizontal="center" vertical="center"/>
    </xf>
    <xf numFmtId="0" fontId="27" fillId="0" borderId="71" xfId="0" applyFont="1" applyBorder="1" applyAlignment="1">
      <alignment horizontal="center" vertical="center"/>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19" fillId="0" borderId="37" xfId="0" applyFont="1" applyBorder="1" applyAlignment="1">
      <alignment horizontal="center" vertical="center"/>
    </xf>
    <xf numFmtId="0" fontId="19" fillId="0" borderId="38" xfId="0" applyFont="1" applyBorder="1" applyAlignment="1">
      <alignment horizontal="center" vertical="center"/>
    </xf>
    <xf numFmtId="0" fontId="20" fillId="0" borderId="38" xfId="0" applyFont="1" applyBorder="1" applyAlignment="1">
      <alignment horizontal="center" vertical="center"/>
    </xf>
    <xf numFmtId="0" fontId="20" fillId="0" borderId="39" xfId="0" applyFont="1" applyBorder="1" applyAlignment="1">
      <alignment horizontal="center" vertical="center"/>
    </xf>
    <xf numFmtId="0" fontId="20" fillId="8" borderId="63" xfId="0" applyFont="1" applyFill="1" applyBorder="1" applyAlignment="1">
      <alignment horizontal="center" vertical="center"/>
    </xf>
    <xf numFmtId="0" fontId="20" fillId="8" borderId="64" xfId="0" applyFont="1" applyFill="1" applyBorder="1" applyAlignment="1">
      <alignment horizontal="center" vertical="center"/>
    </xf>
    <xf numFmtId="0" fontId="20" fillId="8" borderId="65" xfId="0" applyFont="1" applyFill="1" applyBorder="1" applyAlignment="1">
      <alignment horizontal="center" vertical="center"/>
    </xf>
    <xf numFmtId="0" fontId="26" fillId="0" borderId="49" xfId="0" applyFont="1" applyBorder="1" applyAlignment="1">
      <alignment horizontal="center" vertical="center"/>
    </xf>
    <xf numFmtId="0" fontId="26" fillId="0" borderId="50" xfId="0" applyFont="1" applyBorder="1" applyAlignment="1">
      <alignment horizontal="center" vertical="center"/>
    </xf>
    <xf numFmtId="0" fontId="26" fillId="0" borderId="20" xfId="0" applyFont="1" applyBorder="1" applyAlignment="1">
      <alignment horizontal="center" vertical="center"/>
    </xf>
    <xf numFmtId="0" fontId="0" fillId="7" borderId="0" xfId="0" applyFill="1" applyAlignment="1">
      <alignment horizontal="center" vertical="center" wrapText="1"/>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horizontal="center" vertical="top" wrapText="1"/>
    </xf>
    <xf numFmtId="0" fontId="14" fillId="0" borderId="32" xfId="0" applyFont="1" applyBorder="1" applyAlignment="1">
      <alignment wrapText="1"/>
    </xf>
    <xf numFmtId="0" fontId="14" fillId="0" borderId="0" xfId="0" applyFont="1" applyAlignment="1">
      <alignment wrapText="1"/>
    </xf>
    <xf numFmtId="0" fontId="14" fillId="0" borderId="32" xfId="0" applyFont="1" applyBorder="1" applyAlignment="1">
      <alignment horizontal="center" wrapText="1"/>
    </xf>
    <xf numFmtId="0" fontId="14" fillId="0" borderId="0" xfId="0" applyFont="1" applyAlignment="1">
      <alignment horizontal="center" wrapText="1"/>
    </xf>
    <xf numFmtId="0" fontId="0" fillId="0" borderId="0" xfId="0" applyAlignment="1">
      <alignment horizontal="center"/>
    </xf>
    <xf numFmtId="0" fontId="13" fillId="6" borderId="28" xfId="0" applyFont="1" applyFill="1" applyBorder="1" applyAlignment="1">
      <alignment horizontal="center" vertical="center" wrapText="1"/>
    </xf>
    <xf numFmtId="0" fontId="13" fillId="6" borderId="0" xfId="0" applyFont="1" applyFill="1" applyAlignment="1">
      <alignment horizontal="center" vertical="center" wrapText="1"/>
    </xf>
    <xf numFmtId="0" fontId="13" fillId="6" borderId="29" xfId="0" applyFont="1" applyFill="1" applyBorder="1" applyAlignment="1">
      <alignment horizontal="center" vertical="center" wrapText="1"/>
    </xf>
    <xf numFmtId="0" fontId="13" fillId="6" borderId="30" xfId="0" applyFont="1" applyFill="1" applyBorder="1" applyAlignment="1">
      <alignment horizontal="center" vertical="center" wrapText="1"/>
    </xf>
    <xf numFmtId="0" fontId="13" fillId="6" borderId="3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ctrlProps/ctrlProp1.xml><?xml version="1.0" encoding="utf-8"?>
<formControlPr xmlns="http://schemas.microsoft.com/office/spreadsheetml/2009/9/main" objectType="List" dx="15" fmlaLink="K2" fmlaRange="'LISTE ETUDIANT'!$I$2:$I$686" multiSel="29, 28, 25, 23, 15, 12, 8, 6, 4, 3" sel="0" seltype="multi" val="0"/>
</file>

<file path=xl/ctrlProps/ctrlProp2.xml><?xml version="1.0" encoding="utf-8"?>
<formControlPr xmlns="http://schemas.microsoft.com/office/spreadsheetml/2009/9/main" objectType="Label" lockText="1"/>
</file>

<file path=xl/ctrlProps/ctrlProp3.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4</xdr:col>
          <xdr:colOff>632460</xdr:colOff>
          <xdr:row>2</xdr:row>
          <xdr:rowOff>22860</xdr:rowOff>
        </xdr:from>
        <xdr:to>
          <xdr:col>7</xdr:col>
          <xdr:colOff>15240</xdr:colOff>
          <xdr:row>31</xdr:row>
          <xdr:rowOff>152400</xdr:rowOff>
        </xdr:to>
        <xdr:sp macro="" textlink="">
          <xdr:nvSpPr>
            <xdr:cNvPr id="4110" name="List Box 14" hidden="1">
              <a:extLst>
                <a:ext uri="{63B3BB69-23CF-44E3-9099-C40C66FF867C}">
                  <a14:compatExt spid="_x0000_s4110"/>
                </a:ext>
                <a:ext uri="{FF2B5EF4-FFF2-40B4-BE49-F238E27FC236}">
                  <a16:creationId xmlns:a16="http://schemas.microsoft.com/office/drawing/2014/main" id="{00000000-0008-0000-00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190500</xdr:colOff>
      <xdr:row>0</xdr:row>
      <xdr:rowOff>114300</xdr:rowOff>
    </xdr:from>
    <xdr:to>
      <xdr:col>8</xdr:col>
      <xdr:colOff>635000</xdr:colOff>
      <xdr:row>1</xdr:row>
      <xdr:rowOff>127000</xdr:rowOff>
    </xdr:to>
    <xdr:sp macro="[0]!FiltrerRecherche" textlink="">
      <xdr:nvSpPr>
        <xdr:cNvPr id="5" name="ZoneTexte 4">
          <a:extLst>
            <a:ext uri="{FF2B5EF4-FFF2-40B4-BE49-F238E27FC236}">
              <a16:creationId xmlns:a16="http://schemas.microsoft.com/office/drawing/2014/main" id="{4DE0F29D-48F7-FD18-C27B-0136C442B837}"/>
            </a:ext>
          </a:extLst>
        </xdr:cNvPr>
        <xdr:cNvSpPr txBox="1"/>
      </xdr:nvSpPr>
      <xdr:spPr>
        <a:xfrm>
          <a:off x="7658100" y="114300"/>
          <a:ext cx="952500" cy="495300"/>
        </a:xfrm>
        <a:prstGeom prst="rect">
          <a:avLst/>
        </a:prstGeom>
        <a:solidFill>
          <a:schemeClr val="bg2">
            <a:lumMod val="90000"/>
          </a:schemeClr>
        </a:solidFill>
        <a:ln w="9525" cmpd="sng">
          <a:solidFill>
            <a:schemeClr val="lt1">
              <a:shade val="50000"/>
            </a:schemeClr>
          </a:solid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100" kern="1200"/>
            <a:t>FILTRE DE LA CLASSE</a:t>
          </a:r>
        </a:p>
      </xdr:txBody>
    </xdr:sp>
    <xdr:clientData/>
  </xdr:twoCellAnchor>
  <mc:AlternateContent xmlns:mc="http://schemas.openxmlformats.org/markup-compatibility/2006">
    <mc:Choice xmlns:a14="http://schemas.microsoft.com/office/drawing/2010/main" Requires="a14">
      <xdr:twoCellAnchor>
        <xdr:from>
          <xdr:col>8</xdr:col>
          <xdr:colOff>952500</xdr:colOff>
          <xdr:row>11</xdr:row>
          <xdr:rowOff>129540</xdr:rowOff>
        </xdr:from>
        <xdr:to>
          <xdr:col>11</xdr:col>
          <xdr:colOff>304800</xdr:colOff>
          <xdr:row>13</xdr:row>
          <xdr:rowOff>152400</xdr:rowOff>
        </xdr:to>
        <xdr:sp macro="" textlink="">
          <xdr:nvSpPr>
            <xdr:cNvPr id="4115" name="Label 19" hidden="1">
              <a:extLst>
                <a:ext uri="{63B3BB69-23CF-44E3-9099-C40C66FF867C}">
                  <a14:compatExt spid="_x0000_s4115"/>
                </a:ext>
                <a:ext uri="{FF2B5EF4-FFF2-40B4-BE49-F238E27FC236}">
                  <a16:creationId xmlns:a16="http://schemas.microsoft.com/office/drawing/2014/main" id="{00000000-0008-0000-0000-0000131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586740</xdr:colOff>
          <xdr:row>32</xdr:row>
          <xdr:rowOff>91440</xdr:rowOff>
        </xdr:from>
        <xdr:to>
          <xdr:col>6</xdr:col>
          <xdr:colOff>381000</xdr:colOff>
          <xdr:row>34</xdr:row>
          <xdr:rowOff>60960</xdr:rowOff>
        </xdr:to>
        <xdr:sp macro="" textlink="">
          <xdr:nvSpPr>
            <xdr:cNvPr id="4191" name="Button 95" hidden="1">
              <a:extLst>
                <a:ext uri="{63B3BB69-23CF-44E3-9099-C40C66FF867C}">
                  <a14:compatExt spid="_x0000_s4191"/>
                </a:ext>
                <a:ext uri="{FF2B5EF4-FFF2-40B4-BE49-F238E27FC236}">
                  <a16:creationId xmlns:a16="http://schemas.microsoft.com/office/drawing/2014/main" id="{00000000-0008-0000-0000-00005F1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fr-FR" sz="1200" b="0" i="0" u="none" strike="noStrike" baseline="0">
                  <a:solidFill>
                    <a:srgbClr val="000000"/>
                  </a:solidFill>
                  <a:latin typeface="Aptos Narrow"/>
                </a:rPr>
                <a:t>AJOÛT ETUDIANT</a:t>
              </a:r>
            </a:p>
          </xdr:txBody>
        </xdr:sp>
        <xdr:clientData fPrintsWithSheet="0"/>
      </xdr:twoCellAnchor>
    </mc:Choice>
    <mc:Fallback/>
  </mc:AlternateContent>
  <xdr:twoCellAnchor>
    <xdr:from>
      <xdr:col>0</xdr:col>
      <xdr:colOff>38100</xdr:colOff>
      <xdr:row>0</xdr:row>
      <xdr:rowOff>139700</xdr:rowOff>
    </xdr:from>
    <xdr:to>
      <xdr:col>4</xdr:col>
      <xdr:colOff>546100</xdr:colOff>
      <xdr:row>31</xdr:row>
      <xdr:rowOff>177800</xdr:rowOff>
    </xdr:to>
    <xdr:sp macro="" textlink="">
      <xdr:nvSpPr>
        <xdr:cNvPr id="7" name="ZoneTexte 6">
          <a:extLst>
            <a:ext uri="{FF2B5EF4-FFF2-40B4-BE49-F238E27FC236}">
              <a16:creationId xmlns:a16="http://schemas.microsoft.com/office/drawing/2014/main" id="{0AFC6AD9-E697-DDE1-C263-40964C7A8BF2}"/>
            </a:ext>
          </a:extLst>
        </xdr:cNvPr>
        <xdr:cNvSpPr txBox="1"/>
      </xdr:nvSpPr>
      <xdr:spPr>
        <a:xfrm>
          <a:off x="38100" y="139700"/>
          <a:ext cx="4470400" cy="666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fr-FR" sz="1800" b="1" i="0">
              <a:solidFill>
                <a:schemeClr val="tx1"/>
              </a:solidFill>
              <a:effectLst/>
              <a:latin typeface="+mn-lt"/>
              <a:ea typeface="+mn-ea"/>
              <a:cs typeface="+mn-cs"/>
            </a:rPr>
            <a:t>① </a:t>
          </a:r>
          <a:r>
            <a:rPr lang="fr-FR" sz="1800" b="1" kern="1200"/>
            <a:t>Choisir la</a:t>
          </a:r>
          <a:r>
            <a:rPr lang="fr-FR" sz="1800" b="1" kern="1200" baseline="0"/>
            <a:t> classe</a:t>
          </a:r>
        </a:p>
        <a:p>
          <a:pPr marL="0" marR="0" lvl="0" indent="0" algn="l" defTabSz="914400" eaLnBrk="1" fontAlgn="auto" latinLnBrk="0" hangingPunct="1">
            <a:lnSpc>
              <a:spcPct val="100000"/>
            </a:lnSpc>
            <a:spcBef>
              <a:spcPts val="0"/>
            </a:spcBef>
            <a:spcAft>
              <a:spcPts val="0"/>
            </a:spcAft>
            <a:buClrTx/>
            <a:buSzTx/>
            <a:buFontTx/>
            <a:buNone/>
            <a:tabLst/>
            <a:defRPr/>
          </a:pPr>
          <a:r>
            <a:rPr lang="fr-FR" sz="1400" b="0" kern="1200" baseline="0"/>
            <a:t>Il faut choisir la classe des étudiant via la liste en cellule en </a:t>
          </a:r>
          <a:r>
            <a:rPr lang="fr-FR" sz="1400" b="1" kern="1200" baseline="0"/>
            <a:t>G1 </a:t>
          </a:r>
          <a:r>
            <a:rPr lang="fr-FR" sz="1400" b="0" kern="1200" baseline="0">
              <a:solidFill>
                <a:schemeClr val="dk1"/>
              </a:solidFill>
              <a:latin typeface="+mn-lt"/>
              <a:ea typeface="+mn-ea"/>
              <a:cs typeface="+mn-cs"/>
            </a:rPr>
            <a:t>puis cliquer sur le boutton </a:t>
          </a:r>
          <a:r>
            <a:rPr lang="fr-FR" sz="1400" b="1" kern="1200" baseline="0">
              <a:solidFill>
                <a:schemeClr val="dk1"/>
              </a:solidFill>
              <a:latin typeface="+mn-lt"/>
              <a:ea typeface="+mn-ea"/>
              <a:cs typeface="+mn-cs"/>
            </a:rPr>
            <a:t>FILTRE DE LA CLASSE.</a:t>
          </a:r>
        </a:p>
        <a:p>
          <a:pPr marL="0" marR="0" lvl="0" indent="0" algn="l" defTabSz="914400" eaLnBrk="1" fontAlgn="auto" latinLnBrk="0" hangingPunct="1">
            <a:lnSpc>
              <a:spcPct val="100000"/>
            </a:lnSpc>
            <a:spcBef>
              <a:spcPts val="0"/>
            </a:spcBef>
            <a:spcAft>
              <a:spcPts val="0"/>
            </a:spcAft>
            <a:buClrTx/>
            <a:buSzTx/>
            <a:buFontTx/>
            <a:buNone/>
            <a:tabLst/>
            <a:defRPr/>
          </a:pPr>
          <a:r>
            <a:rPr lang="fr-FR" sz="1800" b="1" i="0">
              <a:solidFill>
                <a:schemeClr val="tx1"/>
              </a:solidFill>
              <a:effectLst/>
              <a:latin typeface="+mn-lt"/>
              <a:ea typeface="+mn-ea"/>
              <a:cs typeface="+mn-cs"/>
            </a:rPr>
            <a:t>②</a:t>
          </a:r>
          <a:r>
            <a:rPr lang="fr-FR" sz="1800" b="1" kern="1200" baseline="0"/>
            <a:t> Rentrer le nom du groupe</a:t>
          </a:r>
        </a:p>
        <a:p>
          <a:pPr marL="0" marR="0" lvl="0" indent="0" algn="l" defTabSz="914400" eaLnBrk="1" fontAlgn="auto" latinLnBrk="0" hangingPunct="1">
            <a:lnSpc>
              <a:spcPct val="100000"/>
            </a:lnSpc>
            <a:spcBef>
              <a:spcPts val="0"/>
            </a:spcBef>
            <a:spcAft>
              <a:spcPts val="0"/>
            </a:spcAft>
            <a:buClrTx/>
            <a:buSzTx/>
            <a:buFontTx/>
            <a:buNone/>
            <a:tabLst/>
            <a:defRPr/>
          </a:pPr>
          <a:r>
            <a:rPr lang="fr-FR" sz="1400" b="0" kern="1200" baseline="0">
              <a:solidFill>
                <a:schemeClr val="dk1"/>
              </a:solidFill>
              <a:latin typeface="+mn-lt"/>
              <a:ea typeface="+mn-ea"/>
              <a:cs typeface="+mn-cs"/>
            </a:rPr>
            <a:t>Ensuite vous devez rentrez en </a:t>
          </a:r>
          <a:r>
            <a:rPr lang="fr-FR" sz="1400" b="1" kern="1200" baseline="0">
              <a:solidFill>
                <a:schemeClr val="dk1"/>
              </a:solidFill>
              <a:latin typeface="+mn-lt"/>
              <a:ea typeface="+mn-ea"/>
              <a:cs typeface="+mn-cs"/>
            </a:rPr>
            <a:t>G2</a:t>
          </a:r>
          <a:r>
            <a:rPr lang="fr-FR" sz="1400" b="0" kern="1200" baseline="0">
              <a:solidFill>
                <a:schemeClr val="dk1"/>
              </a:solidFill>
              <a:latin typeface="+mn-lt"/>
              <a:ea typeface="+mn-ea"/>
              <a:cs typeface="+mn-cs"/>
            </a:rPr>
            <a:t> le nom du groupe choisi par les étudiants.</a:t>
          </a:r>
        </a:p>
        <a:p>
          <a:pPr marL="0" marR="0" lvl="0" indent="0" algn="l" defTabSz="914400" eaLnBrk="1" fontAlgn="auto" latinLnBrk="0" hangingPunct="1">
            <a:lnSpc>
              <a:spcPct val="100000"/>
            </a:lnSpc>
            <a:spcBef>
              <a:spcPts val="0"/>
            </a:spcBef>
            <a:spcAft>
              <a:spcPts val="0"/>
            </a:spcAft>
            <a:buClrTx/>
            <a:buSzTx/>
            <a:buFontTx/>
            <a:buNone/>
            <a:tabLst/>
            <a:defRPr/>
          </a:pPr>
          <a:r>
            <a:rPr lang="fr-FR" sz="1800" b="1" i="0">
              <a:solidFill>
                <a:schemeClr val="tx1"/>
              </a:solidFill>
              <a:effectLst/>
              <a:latin typeface="+mn-lt"/>
              <a:ea typeface="+mn-ea"/>
              <a:cs typeface="+mn-cs"/>
            </a:rPr>
            <a:t>③</a:t>
          </a:r>
          <a:r>
            <a:rPr lang="fr-FR" sz="1800" b="1" i="0" kern="1200" baseline="0">
              <a:solidFill>
                <a:schemeClr val="dk1"/>
              </a:solidFill>
              <a:effectLst/>
              <a:latin typeface="+mn-lt"/>
              <a:ea typeface="+mn-ea"/>
              <a:cs typeface="+mn-cs"/>
            </a:rPr>
            <a:t> Sélection des étudiants</a:t>
          </a:r>
        </a:p>
        <a:p>
          <a:pPr marL="0" marR="0" lvl="0" indent="0" algn="l" defTabSz="914400" eaLnBrk="1" fontAlgn="auto" latinLnBrk="0" hangingPunct="1">
            <a:lnSpc>
              <a:spcPct val="100000"/>
            </a:lnSpc>
            <a:spcBef>
              <a:spcPts val="0"/>
            </a:spcBef>
            <a:spcAft>
              <a:spcPts val="0"/>
            </a:spcAft>
            <a:buClrTx/>
            <a:buSzTx/>
            <a:buFontTx/>
            <a:buNone/>
            <a:tabLst/>
            <a:defRPr/>
          </a:pPr>
          <a:r>
            <a:rPr lang="fr-FR" sz="1400" b="0" kern="1200" baseline="0">
              <a:solidFill>
                <a:schemeClr val="dk1"/>
              </a:solidFill>
              <a:latin typeface="+mn-lt"/>
              <a:ea typeface="+mn-ea"/>
              <a:cs typeface="+mn-cs"/>
            </a:rPr>
            <a:t>Vous devez selectionner les 3 étudiants membre du groupe via la liste deroulante, puis cliquez sur le bouton</a:t>
          </a:r>
          <a:r>
            <a:rPr lang="fr-FR" sz="1400" b="1" kern="1200" baseline="0">
              <a:solidFill>
                <a:schemeClr val="dk1"/>
              </a:solidFill>
              <a:latin typeface="+mn-lt"/>
              <a:ea typeface="+mn-ea"/>
              <a:cs typeface="+mn-cs"/>
            </a:rPr>
            <a:t> Ajoût Etudiant</a:t>
          </a:r>
        </a:p>
        <a:p>
          <a:pPr marL="0" marR="0" lvl="0" indent="0" algn="l" defTabSz="914400" eaLnBrk="1" fontAlgn="auto" latinLnBrk="0" hangingPunct="1">
            <a:lnSpc>
              <a:spcPct val="100000"/>
            </a:lnSpc>
            <a:spcBef>
              <a:spcPts val="0"/>
            </a:spcBef>
            <a:spcAft>
              <a:spcPts val="0"/>
            </a:spcAft>
            <a:buClrTx/>
            <a:buSzTx/>
            <a:buFontTx/>
            <a:buNone/>
            <a:tabLst/>
            <a:defRPr/>
          </a:pPr>
          <a:r>
            <a:rPr lang="fr-FR" sz="1800" b="1" i="0">
              <a:solidFill>
                <a:schemeClr val="tx1"/>
              </a:solidFill>
              <a:effectLst/>
              <a:latin typeface="+mn-lt"/>
              <a:ea typeface="+mn-ea"/>
              <a:cs typeface="+mn-cs"/>
            </a:rPr>
            <a:t>④ Remplir les notes communes</a:t>
          </a:r>
          <a:r>
            <a:rPr lang="fr-FR" sz="1800" b="1" i="0" baseline="0">
              <a:solidFill>
                <a:schemeClr val="tx1"/>
              </a:solidFill>
              <a:effectLst/>
              <a:latin typeface="+mn-lt"/>
              <a:ea typeface="+mn-ea"/>
              <a:cs typeface="+mn-cs"/>
            </a:rPr>
            <a:t> dans groupes</a:t>
          </a:r>
        </a:p>
        <a:p>
          <a:pPr marL="0" marR="0" lvl="0" indent="0" algn="l" defTabSz="914400" eaLnBrk="1" fontAlgn="auto" latinLnBrk="0" hangingPunct="1">
            <a:lnSpc>
              <a:spcPct val="100000"/>
            </a:lnSpc>
            <a:spcBef>
              <a:spcPts val="0"/>
            </a:spcBef>
            <a:spcAft>
              <a:spcPts val="0"/>
            </a:spcAft>
            <a:buClrTx/>
            <a:buSzTx/>
            <a:buFontTx/>
            <a:buNone/>
            <a:tabLst/>
            <a:defRPr/>
          </a:pPr>
          <a:endParaRPr lang="fr-FR" sz="1800" b="1"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fr-FR" sz="1800" b="1" i="0">
              <a:solidFill>
                <a:schemeClr val="tx1"/>
              </a:solidFill>
              <a:effectLst/>
              <a:latin typeface="+mn-lt"/>
              <a:ea typeface="+mn-ea"/>
              <a:cs typeface="+mn-cs"/>
            </a:rPr>
            <a:t>⑤</a:t>
          </a:r>
          <a:r>
            <a:rPr lang="fr-FR" sz="1100" b="0" i="0" baseline="0">
              <a:solidFill>
                <a:schemeClr val="dk1"/>
              </a:solidFill>
              <a:effectLst/>
              <a:latin typeface="+mn-lt"/>
              <a:ea typeface="+mn-ea"/>
              <a:cs typeface="+mn-cs"/>
            </a:rPr>
            <a:t> </a:t>
          </a:r>
          <a:r>
            <a:rPr lang="fr-FR" sz="1800" b="1" i="0">
              <a:solidFill>
                <a:schemeClr val="tx1"/>
              </a:solidFill>
              <a:effectLst/>
              <a:latin typeface="+mn-lt"/>
              <a:ea typeface="+mn-ea"/>
              <a:cs typeface="+mn-cs"/>
            </a:rPr>
            <a:t>Remplir les notes individuelles</a:t>
          </a:r>
          <a:endParaRPr lang="fr-FR" sz="1800" b="1"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fr-FR" sz="1800" b="1" i="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fr-FR" sz="1800" b="1" i="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fr-FR" sz="1800" b="1" i="0">
            <a:solidFill>
              <a:schemeClr val="tx1"/>
            </a:solidFill>
            <a:effectLst/>
            <a:latin typeface="+mn-lt"/>
            <a:ea typeface="+mn-ea"/>
            <a:cs typeface="+mn-cs"/>
          </a:endParaRP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txDef>
      <a:spPr>
        <a:solidFill>
          <a:schemeClr val="lt1"/>
        </a:solidFill>
        <a:ln w="9525" cmpd="sng">
          <a:solidFill>
            <a:schemeClr val="lt1">
              <a:shade val="50000"/>
            </a:schemeClr>
          </a:solidFill>
        </a:ln>
      </a:spPr>
      <a:bodyPr vertOverflow="clip" horzOverflow="clip" wrap="square" rtlCol="0" anchor="t"/>
      <a:lstStyle>
        <a:defPPr algn="l">
          <a:defRPr sz="1100" kern="1200"/>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3F7E0-38D5-C74E-994A-1C3769DC66D3}">
  <sheetPr codeName="Feuil1"/>
  <dimension ref="A1:K8"/>
  <sheetViews>
    <sheetView workbookViewId="0">
      <selection activeCell="I14" sqref="I14"/>
    </sheetView>
  </sheetViews>
  <sheetFormatPr baseColWidth="10" defaultColWidth="11" defaultRowHeight="15.6"/>
  <cols>
    <col min="1" max="1" width="19.5" bestFit="1" customWidth="1"/>
    <col min="5" max="5" width="8.5" customWidth="1"/>
    <col min="6" max="6" width="22.59765625" customWidth="1"/>
    <col min="7" max="7" width="20.69921875" customWidth="1"/>
    <col min="8" max="8" width="6.59765625" bestFit="1" customWidth="1"/>
    <col min="9" max="9" width="13.5" bestFit="1" customWidth="1"/>
    <col min="12" max="12" width="16.5" bestFit="1" customWidth="1"/>
  </cols>
  <sheetData>
    <row r="1" spans="1:11" ht="38.1" customHeight="1" thickBot="1">
      <c r="A1" t="s">
        <v>0</v>
      </c>
      <c r="F1" s="32" t="s">
        <v>1</v>
      </c>
      <c r="G1" s="33" t="s">
        <v>2</v>
      </c>
    </row>
    <row r="2" spans="1:11" ht="18" thickBot="1">
      <c r="A2" t="s">
        <v>3</v>
      </c>
      <c r="F2" s="32" t="s">
        <v>4</v>
      </c>
      <c r="G2" s="33" t="s">
        <v>5</v>
      </c>
      <c r="K2">
        <v>0</v>
      </c>
    </row>
    <row r="3" spans="1:11">
      <c r="A3" t="s">
        <v>6</v>
      </c>
    </row>
    <row r="8" spans="1:11">
      <c r="I8" s="29"/>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110" r:id="rId4" name="List Box 14">
              <controlPr defaultSize="0" autoLine="0" autoPict="0">
                <anchor>
                  <from>
                    <xdr:col>4</xdr:col>
                    <xdr:colOff>632460</xdr:colOff>
                    <xdr:row>2</xdr:row>
                    <xdr:rowOff>22860</xdr:rowOff>
                  </from>
                  <to>
                    <xdr:col>7</xdr:col>
                    <xdr:colOff>15240</xdr:colOff>
                    <xdr:row>31</xdr:row>
                    <xdr:rowOff>152400</xdr:rowOff>
                  </to>
                </anchor>
              </controlPr>
            </control>
          </mc:Choice>
        </mc:AlternateContent>
        <mc:AlternateContent xmlns:mc="http://schemas.openxmlformats.org/markup-compatibility/2006">
          <mc:Choice Requires="x14">
            <control shapeId="4115" r:id="rId5" name="Label 19">
              <controlPr defaultSize="0" autoFill="0" autoLine="0" autoPict="0">
                <anchor moveWithCells="1" sizeWithCells="1">
                  <from>
                    <xdr:col>8</xdr:col>
                    <xdr:colOff>952500</xdr:colOff>
                    <xdr:row>11</xdr:row>
                    <xdr:rowOff>129540</xdr:rowOff>
                  </from>
                  <to>
                    <xdr:col>11</xdr:col>
                    <xdr:colOff>304800</xdr:colOff>
                    <xdr:row>13</xdr:row>
                    <xdr:rowOff>152400</xdr:rowOff>
                  </to>
                </anchor>
              </controlPr>
            </control>
          </mc:Choice>
        </mc:AlternateContent>
        <mc:AlternateContent xmlns:mc="http://schemas.openxmlformats.org/markup-compatibility/2006">
          <mc:Choice Requires="x14">
            <control shapeId="4191" r:id="rId6" name="Button 95">
              <controlPr defaultSize="0" print="0" autoFill="0" autoPict="0" macro="[0]!RecupererSelectionsDepuisZoneListe">
                <anchor moveWithCells="1" sizeWithCells="1">
                  <from>
                    <xdr:col>5</xdr:col>
                    <xdr:colOff>586740</xdr:colOff>
                    <xdr:row>32</xdr:row>
                    <xdr:rowOff>91440</xdr:rowOff>
                  </from>
                  <to>
                    <xdr:col>6</xdr:col>
                    <xdr:colOff>381000</xdr:colOff>
                    <xdr:row>34</xdr:row>
                    <xdr:rowOff>60960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065FD022-11FD-A147-B797-EDFD1DD048FE}">
          <x14:formula1>
            <xm:f>CLASSE!$A:$A</xm:f>
          </x14:formula1>
          <xm:sqref>G1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C17B9-3D56-43E5-A5E2-FA477D09905C}">
  <sheetPr codeName="Feuil3">
    <tabColor theme="9" tint="0.79998168889431442"/>
  </sheetPr>
  <dimension ref="A1:C20"/>
  <sheetViews>
    <sheetView workbookViewId="0">
      <selection activeCell="A4" sqref="A4"/>
    </sheetView>
  </sheetViews>
  <sheetFormatPr baseColWidth="10" defaultColWidth="11" defaultRowHeight="15.6"/>
  <cols>
    <col min="1" max="1" width="110.59765625" bestFit="1" customWidth="1"/>
  </cols>
  <sheetData>
    <row r="1" spans="1:3" ht="25.8">
      <c r="A1" s="86" t="s">
        <v>7</v>
      </c>
    </row>
    <row r="2" spans="1:3" ht="25.8">
      <c r="A2" s="86"/>
    </row>
    <row r="3" spans="1:3" ht="25.8">
      <c r="A3" s="86" t="s">
        <v>8</v>
      </c>
    </row>
    <row r="5" spans="1:3" s="88" customFormat="1" ht="18">
      <c r="A5" s="87" t="s">
        <v>9</v>
      </c>
    </row>
    <row r="6" spans="1:3">
      <c r="A6" t="s">
        <v>10</v>
      </c>
    </row>
    <row r="7" spans="1:3">
      <c r="A7" t="s">
        <v>11</v>
      </c>
    </row>
    <row r="8" spans="1:3">
      <c r="A8" t="s">
        <v>12</v>
      </c>
    </row>
    <row r="10" spans="1:3" s="88" customFormat="1" ht="18">
      <c r="A10" s="87" t="s">
        <v>13</v>
      </c>
    </row>
    <row r="11" spans="1:3">
      <c r="A11" t="s">
        <v>14</v>
      </c>
    </row>
    <row r="12" spans="1:3">
      <c r="A12" t="s">
        <v>15</v>
      </c>
    </row>
    <row r="13" spans="1:3" ht="16.2" thickBot="1">
      <c r="A13" t="s">
        <v>16</v>
      </c>
    </row>
    <row r="14" spans="1:3" ht="16.2" thickBot="1">
      <c r="A14" s="89" t="s">
        <v>17</v>
      </c>
      <c r="B14" s="126"/>
      <c r="C14" s="105"/>
    </row>
    <row r="15" spans="1:3" ht="16.2" thickBot="1">
      <c r="A15" s="89" t="s">
        <v>18</v>
      </c>
      <c r="B15" s="125"/>
      <c r="C15" s="108"/>
    </row>
    <row r="16" spans="1:3">
      <c r="A16" s="29" t="s">
        <v>17</v>
      </c>
    </row>
    <row r="17" spans="1:1">
      <c r="A17" s="90" t="s">
        <v>19</v>
      </c>
    </row>
    <row r="18" spans="1:1">
      <c r="A18" s="90" t="s">
        <v>20</v>
      </c>
    </row>
    <row r="19" spans="1:1">
      <c r="A19" s="90"/>
    </row>
    <row r="20" spans="1:1">
      <c r="A20" s="9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BDF51-33B9-431A-BC2E-DCCF1F14F4C9}">
  <sheetPr codeName="Feuil7">
    <tabColor theme="9" tint="0.79998168889431442"/>
  </sheetPr>
  <dimension ref="B1:G32"/>
  <sheetViews>
    <sheetView showGridLines="0" workbookViewId="0">
      <selection activeCell="E18" sqref="E18"/>
    </sheetView>
  </sheetViews>
  <sheetFormatPr baseColWidth="10" defaultColWidth="11" defaultRowHeight="15.6"/>
  <cols>
    <col min="1" max="1" width="0.59765625" customWidth="1"/>
    <col min="2" max="2" width="16.09765625" customWidth="1"/>
    <col min="3" max="3" width="18.09765625" customWidth="1"/>
    <col min="4" max="4" width="20.09765625" customWidth="1"/>
    <col min="5" max="5" width="19" customWidth="1"/>
    <col min="6" max="6" width="18.59765625" customWidth="1"/>
    <col min="7" max="7" width="17.69921875" customWidth="1"/>
  </cols>
  <sheetData>
    <row r="1" spans="2:7" ht="3" customHeight="1"/>
    <row r="2" spans="2:7" ht="16.5" customHeight="1">
      <c r="B2" s="91" t="s">
        <v>21</v>
      </c>
      <c r="C2" s="92" t="s">
        <v>22</v>
      </c>
    </row>
    <row r="3" spans="2:7" ht="16.2" thickBot="1">
      <c r="B3" s="157" t="s">
        <v>23</v>
      </c>
      <c r="C3" s="157"/>
      <c r="D3" s="157"/>
      <c r="E3" s="157"/>
    </row>
    <row r="4" spans="2:7" ht="16.2" thickBot="1">
      <c r="B4" s="158" t="s">
        <v>24</v>
      </c>
      <c r="C4" s="159"/>
      <c r="D4" s="160"/>
      <c r="E4" s="159" t="s">
        <v>25</v>
      </c>
      <c r="F4" s="160"/>
      <c r="G4" s="151" t="s">
        <v>26</v>
      </c>
    </row>
    <row r="5" spans="2:7" ht="16.2" thickBot="1">
      <c r="B5" s="93" t="s">
        <v>27</v>
      </c>
      <c r="C5" s="94" t="s">
        <v>28</v>
      </c>
      <c r="D5" s="95" t="s">
        <v>29</v>
      </c>
      <c r="E5" s="93" t="s">
        <v>30</v>
      </c>
      <c r="F5" s="95" t="s">
        <v>31</v>
      </c>
      <c r="G5" s="151" t="s">
        <v>32</v>
      </c>
    </row>
    <row r="6" spans="2:7">
      <c r="B6" s="96" t="s">
        <v>33</v>
      </c>
      <c r="C6" s="97" t="s">
        <v>34</v>
      </c>
      <c r="D6" s="98" t="s">
        <v>35</v>
      </c>
      <c r="E6" s="96"/>
      <c r="F6" s="98"/>
      <c r="G6" s="98" t="str">
        <f>IFERROR(AVERAGE(E6:F6),"")</f>
        <v/>
      </c>
    </row>
    <row r="7" spans="2:7">
      <c r="B7" s="96" t="s">
        <v>33</v>
      </c>
      <c r="C7" s="8" t="s">
        <v>36</v>
      </c>
      <c r="D7" s="19" t="s">
        <v>37</v>
      </c>
      <c r="E7" s="99"/>
      <c r="F7" s="19"/>
      <c r="G7" s="98" t="str">
        <f t="shared" ref="G7:G32" si="0">IFERROR(AVERAGE(E7:F7),"")</f>
        <v/>
      </c>
    </row>
    <row r="8" spans="2:7">
      <c r="B8" s="96" t="s">
        <v>33</v>
      </c>
      <c r="C8" s="8" t="s">
        <v>38</v>
      </c>
      <c r="D8" s="19" t="s">
        <v>39</v>
      </c>
      <c r="E8" s="99"/>
      <c r="F8" s="19"/>
      <c r="G8" s="98" t="str">
        <f t="shared" si="0"/>
        <v/>
      </c>
    </row>
    <row r="9" spans="2:7">
      <c r="B9" s="96" t="s">
        <v>33</v>
      </c>
      <c r="C9" s="8" t="s">
        <v>40</v>
      </c>
      <c r="D9" s="19" t="s">
        <v>41</v>
      </c>
      <c r="E9" s="99"/>
      <c r="F9" s="19"/>
      <c r="G9" s="98" t="str">
        <f t="shared" si="0"/>
        <v/>
      </c>
    </row>
    <row r="10" spans="2:7">
      <c r="B10" s="99"/>
      <c r="C10" s="8"/>
      <c r="D10" s="19"/>
      <c r="E10" s="99"/>
      <c r="F10" s="19"/>
      <c r="G10" s="98" t="str">
        <f t="shared" si="0"/>
        <v/>
      </c>
    </row>
    <row r="11" spans="2:7">
      <c r="B11" s="99"/>
      <c r="C11" s="8"/>
      <c r="D11" s="19"/>
      <c r="E11" s="99"/>
      <c r="F11" s="19"/>
      <c r="G11" s="98" t="str">
        <f t="shared" si="0"/>
        <v/>
      </c>
    </row>
    <row r="12" spans="2:7">
      <c r="B12" s="99"/>
      <c r="C12" s="8"/>
      <c r="D12" s="19"/>
      <c r="E12" s="99"/>
      <c r="F12" s="19"/>
      <c r="G12" s="98" t="str">
        <f t="shared" si="0"/>
        <v/>
      </c>
    </row>
    <row r="13" spans="2:7">
      <c r="B13" s="99"/>
      <c r="C13" s="8"/>
      <c r="D13" s="19"/>
      <c r="E13" s="99"/>
      <c r="F13" s="19"/>
      <c r="G13" s="98" t="str">
        <f t="shared" si="0"/>
        <v/>
      </c>
    </row>
    <row r="14" spans="2:7">
      <c r="B14" s="99"/>
      <c r="C14" s="8"/>
      <c r="D14" s="19"/>
      <c r="E14" s="99"/>
      <c r="F14" s="19"/>
      <c r="G14" s="98" t="str">
        <f t="shared" si="0"/>
        <v/>
      </c>
    </row>
    <row r="15" spans="2:7">
      <c r="B15" s="99"/>
      <c r="C15" s="8"/>
      <c r="D15" s="19"/>
      <c r="E15" s="99"/>
      <c r="F15" s="19"/>
      <c r="G15" s="98" t="str">
        <f t="shared" si="0"/>
        <v/>
      </c>
    </row>
    <row r="16" spans="2:7">
      <c r="B16" s="99"/>
      <c r="C16" s="8"/>
      <c r="D16" s="19"/>
      <c r="E16" s="99"/>
      <c r="F16" s="19"/>
      <c r="G16" s="98" t="str">
        <f t="shared" si="0"/>
        <v/>
      </c>
    </row>
    <row r="17" spans="2:7">
      <c r="B17" s="99"/>
      <c r="C17" s="8"/>
      <c r="D17" s="19"/>
      <c r="E17" s="99"/>
      <c r="F17" s="19"/>
      <c r="G17" s="98" t="str">
        <f t="shared" si="0"/>
        <v/>
      </c>
    </row>
    <row r="18" spans="2:7">
      <c r="B18" s="99"/>
      <c r="C18" s="8"/>
      <c r="D18" s="19"/>
      <c r="E18" s="99"/>
      <c r="F18" s="19"/>
      <c r="G18" s="98" t="str">
        <f t="shared" si="0"/>
        <v/>
      </c>
    </row>
    <row r="19" spans="2:7">
      <c r="B19" s="99"/>
      <c r="C19" s="8"/>
      <c r="D19" s="19"/>
      <c r="E19" s="99"/>
      <c r="F19" s="19"/>
      <c r="G19" s="98" t="str">
        <f t="shared" si="0"/>
        <v/>
      </c>
    </row>
    <row r="20" spans="2:7">
      <c r="B20" s="99"/>
      <c r="C20" s="8"/>
      <c r="D20" s="19"/>
      <c r="E20" s="99"/>
      <c r="F20" s="19"/>
      <c r="G20" s="98" t="str">
        <f t="shared" si="0"/>
        <v/>
      </c>
    </row>
    <row r="21" spans="2:7">
      <c r="B21" s="99"/>
      <c r="C21" s="8"/>
      <c r="D21" s="19"/>
      <c r="E21" s="99"/>
      <c r="F21" s="19"/>
      <c r="G21" s="98" t="str">
        <f t="shared" si="0"/>
        <v/>
      </c>
    </row>
    <row r="22" spans="2:7">
      <c r="B22" s="99"/>
      <c r="C22" s="8"/>
      <c r="D22" s="19"/>
      <c r="E22" s="99"/>
      <c r="F22" s="19"/>
      <c r="G22" s="98" t="str">
        <f t="shared" si="0"/>
        <v/>
      </c>
    </row>
    <row r="23" spans="2:7">
      <c r="B23" s="99"/>
      <c r="C23" s="8"/>
      <c r="D23" s="19"/>
      <c r="E23" s="99"/>
      <c r="F23" s="19"/>
      <c r="G23" s="98" t="str">
        <f t="shared" si="0"/>
        <v/>
      </c>
    </row>
    <row r="24" spans="2:7">
      <c r="B24" s="99"/>
      <c r="C24" s="8"/>
      <c r="D24" s="19"/>
      <c r="E24" s="99"/>
      <c r="F24" s="19"/>
      <c r="G24" s="98" t="str">
        <f t="shared" si="0"/>
        <v/>
      </c>
    </row>
    <row r="25" spans="2:7">
      <c r="B25" s="99"/>
      <c r="C25" s="8"/>
      <c r="D25" s="19"/>
      <c r="E25" s="99"/>
      <c r="F25" s="19"/>
      <c r="G25" s="98" t="str">
        <f t="shared" si="0"/>
        <v/>
      </c>
    </row>
    <row r="26" spans="2:7">
      <c r="B26" s="99"/>
      <c r="C26" s="8"/>
      <c r="D26" s="19"/>
      <c r="E26" s="99"/>
      <c r="F26" s="19"/>
      <c r="G26" s="98" t="str">
        <f t="shared" si="0"/>
        <v/>
      </c>
    </row>
    <row r="27" spans="2:7">
      <c r="B27" s="99"/>
      <c r="C27" s="8"/>
      <c r="D27" s="19"/>
      <c r="E27" s="99"/>
      <c r="F27" s="19"/>
      <c r="G27" s="98" t="str">
        <f t="shared" si="0"/>
        <v/>
      </c>
    </row>
    <row r="28" spans="2:7">
      <c r="B28" s="99"/>
      <c r="C28" s="8"/>
      <c r="D28" s="19"/>
      <c r="E28" s="99"/>
      <c r="F28" s="19"/>
      <c r="G28" s="98" t="str">
        <f t="shared" si="0"/>
        <v/>
      </c>
    </row>
    <row r="29" spans="2:7">
      <c r="B29" s="99"/>
      <c r="C29" s="8"/>
      <c r="D29" s="19"/>
      <c r="E29" s="99"/>
      <c r="F29" s="19"/>
      <c r="G29" s="98" t="str">
        <f t="shared" si="0"/>
        <v/>
      </c>
    </row>
    <row r="30" spans="2:7">
      <c r="B30" s="99"/>
      <c r="C30" s="8"/>
      <c r="D30" s="19"/>
      <c r="E30" s="99"/>
      <c r="F30" s="19"/>
      <c r="G30" s="98" t="str">
        <f t="shared" si="0"/>
        <v/>
      </c>
    </row>
    <row r="31" spans="2:7">
      <c r="B31" s="99"/>
      <c r="C31" s="8"/>
      <c r="D31" s="19"/>
      <c r="E31" s="99"/>
      <c r="F31" s="19"/>
      <c r="G31" s="98" t="str">
        <f t="shared" si="0"/>
        <v/>
      </c>
    </row>
    <row r="32" spans="2:7" ht="16.2" thickBot="1">
      <c r="B32" s="100"/>
      <c r="C32" s="101"/>
      <c r="D32" s="102"/>
      <c r="E32" s="100"/>
      <c r="F32" s="102"/>
      <c r="G32" s="102" t="str">
        <f t="shared" si="0"/>
        <v/>
      </c>
    </row>
  </sheetData>
  <mergeCells count="3">
    <mergeCell ref="B3:E3"/>
    <mergeCell ref="B4:D4"/>
    <mergeCell ref="E4:F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E18E9-E3F9-4CF1-B230-9BA218DB1DC2}">
  <sheetPr codeName="Feuil9">
    <tabColor theme="4" tint="0.79998168889431442"/>
  </sheetPr>
  <dimension ref="A1:M68"/>
  <sheetViews>
    <sheetView topLeftCell="A41" workbookViewId="0">
      <selection activeCell="M4" sqref="M4"/>
    </sheetView>
  </sheetViews>
  <sheetFormatPr baseColWidth="10" defaultColWidth="11" defaultRowHeight="15.6"/>
  <cols>
    <col min="1" max="1" width="5.3984375" style="104" customWidth="1"/>
    <col min="2" max="2" width="119.3984375" style="104" customWidth="1"/>
    <col min="3" max="7" width="11.3984375" style="107" customWidth="1"/>
    <col min="8" max="9" width="2.09765625" style="104" customWidth="1"/>
    <col min="10" max="10" width="10.3984375" style="104" customWidth="1"/>
    <col min="11" max="11" width="11.59765625" style="104" customWidth="1"/>
    <col min="12" max="12" width="19.69921875" style="104" customWidth="1"/>
    <col min="13" max="13" width="26.69921875" style="104" customWidth="1"/>
    <col min="14" max="16384" width="11" style="104"/>
  </cols>
  <sheetData>
    <row r="1" spans="1:13" ht="16.2" thickBot="1">
      <c r="A1" s="126"/>
      <c r="B1" s="156" t="s">
        <v>17</v>
      </c>
    </row>
    <row r="2" spans="1:13" ht="16.2" thickBot="1">
      <c r="A2" s="125"/>
      <c r="B2" s="156" t="s">
        <v>18</v>
      </c>
    </row>
    <row r="3" spans="1:13" ht="18.600000000000001" thickBot="1">
      <c r="B3" s="103"/>
      <c r="C3" s="173" t="s">
        <v>42</v>
      </c>
      <c r="D3" s="174"/>
      <c r="E3" s="175" t="s">
        <v>43</v>
      </c>
      <c r="F3" s="175"/>
      <c r="G3" s="176"/>
      <c r="J3" s="126"/>
      <c r="K3" s="105" t="s">
        <v>17</v>
      </c>
    </row>
    <row r="4" spans="1:13" ht="26.4" thickBot="1">
      <c r="B4" s="86" t="s">
        <v>8</v>
      </c>
      <c r="J4" s="125"/>
      <c r="K4" s="108" t="s">
        <v>18</v>
      </c>
    </row>
    <row r="5" spans="1:13" ht="31.8" thickBot="1">
      <c r="B5" s="109"/>
      <c r="C5" s="110" t="s">
        <v>44</v>
      </c>
      <c r="D5" s="111" t="s">
        <v>45</v>
      </c>
      <c r="E5" s="111" t="s">
        <v>46</v>
      </c>
      <c r="F5" s="111" t="s">
        <v>47</v>
      </c>
      <c r="G5" s="112" t="s">
        <v>48</v>
      </c>
    </row>
    <row r="6" spans="1:13" ht="18.75" customHeight="1" thickBot="1">
      <c r="B6" s="177" t="s">
        <v>49</v>
      </c>
      <c r="C6" s="178"/>
      <c r="D6" s="178"/>
      <c r="E6" s="178"/>
      <c r="F6" s="178"/>
      <c r="G6" s="179"/>
    </row>
    <row r="7" spans="1:13" ht="18.75" customHeight="1">
      <c r="B7" s="130" t="s">
        <v>50</v>
      </c>
      <c r="C7" s="180" t="s">
        <v>51</v>
      </c>
      <c r="D7" s="181"/>
      <c r="E7" s="181"/>
      <c r="F7" s="181"/>
      <c r="G7" s="182"/>
      <c r="J7" s="106"/>
      <c r="K7" s="153" t="s">
        <v>52</v>
      </c>
      <c r="L7" s="113" t="s">
        <v>29</v>
      </c>
      <c r="M7" s="114" t="s">
        <v>53</v>
      </c>
    </row>
    <row r="8" spans="1:13" ht="16.2" thickBot="1">
      <c r="B8" s="131" t="s">
        <v>54</v>
      </c>
      <c r="C8" s="127">
        <v>5</v>
      </c>
      <c r="D8" s="127">
        <v>5</v>
      </c>
      <c r="E8" s="127">
        <v>5</v>
      </c>
      <c r="F8" s="127">
        <v>5</v>
      </c>
      <c r="G8" s="132">
        <v>5</v>
      </c>
      <c r="J8" s="152" t="s">
        <v>55</v>
      </c>
      <c r="K8" s="115" t="s">
        <v>34</v>
      </c>
      <c r="L8" s="115" t="str">
        <f>_xlfn.XLOOKUP(K8,'DATA &amp; RECAP'!C6:C32,'DATA &amp; RECAP'!D6:D32,"Sélectionnez un nom")</f>
        <v>Christophe</v>
      </c>
      <c r="M8" s="115">
        <f>IFERROR(SUM(C10,C22,C41,C50,C57)*20/'DOSSIER TECHNIQUE M1'!C42,"")</f>
        <v>20</v>
      </c>
    </row>
    <row r="9" spans="1:13">
      <c r="B9" s="128" t="s">
        <v>56</v>
      </c>
      <c r="C9" s="170"/>
      <c r="D9" s="171"/>
      <c r="E9" s="171"/>
      <c r="F9" s="171"/>
      <c r="G9" s="172"/>
      <c r="J9" s="152" t="s">
        <v>46</v>
      </c>
      <c r="K9" s="115" t="s">
        <v>38</v>
      </c>
      <c r="L9" s="115" t="s">
        <v>39</v>
      </c>
      <c r="M9" s="115">
        <f>IFERROR(SUM(D10,D22,D41,D50,D57)*20/'DOSSIER TECHNIQUE M1'!C42,"")</f>
        <v>20</v>
      </c>
    </row>
    <row r="10" spans="1:13" ht="16.2" thickBot="1">
      <c r="B10" s="129" t="s">
        <v>57</v>
      </c>
      <c r="C10" s="145">
        <f>SUM(C8:C8)</f>
        <v>5</v>
      </c>
      <c r="D10" s="146">
        <f>SUM(D8:D8)</f>
        <v>5</v>
      </c>
      <c r="E10" s="146">
        <f>SUM(E8:E8)</f>
        <v>5</v>
      </c>
      <c r="F10" s="146">
        <f>SUM(F8:F8)</f>
        <v>5</v>
      </c>
      <c r="G10" s="147">
        <f>SUM(G8:G8)</f>
        <v>5</v>
      </c>
      <c r="J10" s="152" t="s">
        <v>46</v>
      </c>
      <c r="K10" s="115" t="s">
        <v>36</v>
      </c>
      <c r="L10" s="115" t="s">
        <v>37</v>
      </c>
      <c r="M10" s="115">
        <f>IFERROR(SUM(E10,E22,E41,E50,E57)*20/'DOSSIER TECHNIQUE M1'!C42,"")</f>
        <v>20</v>
      </c>
    </row>
    <row r="11" spans="1:13" ht="18" customHeight="1" thickBot="1">
      <c r="B11" s="118"/>
      <c r="C11" s="116"/>
      <c r="D11" s="116"/>
      <c r="E11" s="116"/>
      <c r="F11" s="116"/>
      <c r="G11" s="116"/>
      <c r="J11" s="152" t="s">
        <v>47</v>
      </c>
      <c r="K11" s="115" t="s">
        <v>40</v>
      </c>
      <c r="L11" s="115" t="s">
        <v>41</v>
      </c>
      <c r="M11" s="115">
        <f>IFERROR(SUM(F10,F22,F41,F50,F57)*20/'DOSSIER TECHNIQUE M1'!C42,"")</f>
        <v>20</v>
      </c>
    </row>
    <row r="12" spans="1:13" ht="16.2" thickBot="1">
      <c r="B12" s="161" t="s">
        <v>58</v>
      </c>
      <c r="C12" s="162"/>
      <c r="D12" s="162"/>
      <c r="E12" s="162"/>
      <c r="F12" s="162"/>
      <c r="G12" s="163"/>
      <c r="J12" s="152" t="s">
        <v>48</v>
      </c>
      <c r="K12" s="115" t="s">
        <v>40</v>
      </c>
      <c r="L12" s="115" t="s">
        <v>41</v>
      </c>
      <c r="M12" s="115">
        <f>IFERROR(SUM(G10,G22,G41,G50,G57)*20/'DOSSIER TECHNIQUE M1'!C42,"")</f>
        <v>20</v>
      </c>
    </row>
    <row r="13" spans="1:13">
      <c r="B13" s="119" t="s">
        <v>50</v>
      </c>
      <c r="C13" s="167" t="s">
        <v>51</v>
      </c>
      <c r="D13" s="168"/>
      <c r="E13" s="168"/>
      <c r="F13" s="168"/>
      <c r="G13" s="169"/>
    </row>
    <row r="14" spans="1:13">
      <c r="B14" s="120" t="s">
        <v>59</v>
      </c>
      <c r="C14" s="127">
        <v>5</v>
      </c>
      <c r="D14" s="127">
        <v>5</v>
      </c>
      <c r="E14" s="127">
        <v>5</v>
      </c>
      <c r="F14" s="127">
        <v>5</v>
      </c>
      <c r="G14" s="132">
        <v>5</v>
      </c>
    </row>
    <row r="15" spans="1:13">
      <c r="B15" s="120" t="s">
        <v>60</v>
      </c>
      <c r="C15" s="133">
        <v>5</v>
      </c>
      <c r="D15" s="133">
        <v>5</v>
      </c>
      <c r="E15" s="133">
        <v>5</v>
      </c>
      <c r="F15" s="133">
        <v>5</v>
      </c>
      <c r="G15" s="132">
        <v>5</v>
      </c>
    </row>
    <row r="16" spans="1:13" ht="15" customHeight="1">
      <c r="B16" s="120" t="s">
        <v>61</v>
      </c>
      <c r="C16" s="133">
        <v>5</v>
      </c>
      <c r="D16" s="133">
        <v>5</v>
      </c>
      <c r="E16" s="133">
        <v>5</v>
      </c>
      <c r="F16" s="133">
        <v>5</v>
      </c>
      <c r="G16" s="132">
        <v>5</v>
      </c>
    </row>
    <row r="17" spans="2:7" s="117" customFormat="1" ht="18">
      <c r="B17" s="120" t="s">
        <v>62</v>
      </c>
      <c r="C17" s="133">
        <v>5</v>
      </c>
      <c r="D17" s="133">
        <v>5</v>
      </c>
      <c r="E17" s="133">
        <v>5</v>
      </c>
      <c r="F17" s="133">
        <v>5</v>
      </c>
      <c r="G17" s="132">
        <v>5</v>
      </c>
    </row>
    <row r="18" spans="2:7" s="117" customFormat="1" ht="18">
      <c r="B18" s="120" t="s">
        <v>63</v>
      </c>
      <c r="C18" s="127">
        <v>5</v>
      </c>
      <c r="D18" s="127">
        <v>5</v>
      </c>
      <c r="E18" s="127">
        <v>5</v>
      </c>
      <c r="F18" s="127">
        <v>5</v>
      </c>
      <c r="G18" s="132">
        <v>5</v>
      </c>
    </row>
    <row r="19" spans="2:7" s="117" customFormat="1" ht="18">
      <c r="B19" s="120" t="s">
        <v>64</v>
      </c>
      <c r="C19" s="133">
        <v>5</v>
      </c>
      <c r="D19" s="133">
        <v>5</v>
      </c>
      <c r="E19" s="133">
        <v>5</v>
      </c>
      <c r="F19" s="133">
        <v>5</v>
      </c>
      <c r="G19" s="132">
        <v>5</v>
      </c>
    </row>
    <row r="20" spans="2:7" ht="16.2" thickBot="1">
      <c r="B20" s="138" t="s">
        <v>65</v>
      </c>
      <c r="C20" s="133">
        <v>5</v>
      </c>
      <c r="D20" s="133">
        <v>5</v>
      </c>
      <c r="E20" s="133">
        <v>5</v>
      </c>
      <c r="F20" s="133">
        <v>5</v>
      </c>
      <c r="G20" s="134">
        <v>5</v>
      </c>
    </row>
    <row r="21" spans="2:7">
      <c r="B21" s="128" t="s">
        <v>56</v>
      </c>
      <c r="C21" s="170"/>
      <c r="D21" s="171"/>
      <c r="E21" s="171"/>
      <c r="F21" s="171"/>
      <c r="G21" s="172"/>
    </row>
    <row r="22" spans="2:7" ht="17.100000000000001" customHeight="1" thickBot="1">
      <c r="B22" s="129" t="s">
        <v>66</v>
      </c>
      <c r="C22" s="145">
        <f>SUM(C14:C20)</f>
        <v>35</v>
      </c>
      <c r="D22" s="146">
        <f>SUM(D14:D20)</f>
        <v>35</v>
      </c>
      <c r="E22" s="146">
        <f>SUM(E14:E20)</f>
        <v>35</v>
      </c>
      <c r="F22" s="146">
        <f>SUM(F14:F20)</f>
        <v>35</v>
      </c>
      <c r="G22" s="147">
        <f>SUM(G14:G20)</f>
        <v>35</v>
      </c>
    </row>
    <row r="23" spans="2:7" ht="16.2" thickBot="1"/>
    <row r="24" spans="2:7" ht="16.2" thickBot="1">
      <c r="B24" s="161" t="s">
        <v>67</v>
      </c>
      <c r="C24" s="162"/>
      <c r="D24" s="162"/>
      <c r="E24" s="162"/>
      <c r="F24" s="162"/>
      <c r="G24" s="163"/>
    </row>
    <row r="25" spans="2:7">
      <c r="B25" s="119" t="s">
        <v>50</v>
      </c>
      <c r="C25" s="167" t="s">
        <v>51</v>
      </c>
      <c r="D25" s="168"/>
      <c r="E25" s="168"/>
      <c r="F25" s="168"/>
      <c r="G25" s="169"/>
    </row>
    <row r="26" spans="2:7">
      <c r="B26" s="120" t="s">
        <v>68</v>
      </c>
      <c r="C26" s="127">
        <v>10</v>
      </c>
      <c r="D26" s="127">
        <v>10</v>
      </c>
      <c r="E26" s="127">
        <v>10</v>
      </c>
      <c r="F26" s="127">
        <v>10</v>
      </c>
      <c r="G26" s="132">
        <v>10</v>
      </c>
    </row>
    <row r="27" spans="2:7">
      <c r="B27" s="120" t="s">
        <v>69</v>
      </c>
      <c r="C27" s="127">
        <v>10</v>
      </c>
      <c r="D27" s="127">
        <v>10</v>
      </c>
      <c r="E27" s="127">
        <v>10</v>
      </c>
      <c r="F27" s="127">
        <v>10</v>
      </c>
      <c r="G27" s="132">
        <v>10</v>
      </c>
    </row>
    <row r="28" spans="2:7">
      <c r="B28" s="120" t="s">
        <v>70</v>
      </c>
      <c r="C28" s="127">
        <v>10</v>
      </c>
      <c r="D28" s="127">
        <v>10</v>
      </c>
      <c r="E28" s="127">
        <v>10</v>
      </c>
      <c r="F28" s="127">
        <v>10</v>
      </c>
      <c r="G28" s="132">
        <v>10</v>
      </c>
    </row>
    <row r="29" spans="2:7">
      <c r="B29" s="120" t="s">
        <v>71</v>
      </c>
      <c r="C29" s="127">
        <v>2</v>
      </c>
      <c r="D29" s="127">
        <v>2</v>
      </c>
      <c r="E29" s="127">
        <v>2</v>
      </c>
      <c r="F29" s="127">
        <v>2</v>
      </c>
      <c r="G29" s="132">
        <v>2</v>
      </c>
    </row>
    <row r="30" spans="2:7">
      <c r="B30" s="120" t="s">
        <v>72</v>
      </c>
      <c r="C30" s="127">
        <v>2</v>
      </c>
      <c r="D30" s="127">
        <v>2</v>
      </c>
      <c r="E30" s="127">
        <v>2</v>
      </c>
      <c r="F30" s="127">
        <v>2</v>
      </c>
      <c r="G30" s="132">
        <v>2</v>
      </c>
    </row>
    <row r="31" spans="2:7">
      <c r="B31" s="120" t="s">
        <v>73</v>
      </c>
      <c r="C31" s="127">
        <v>5</v>
      </c>
      <c r="D31" s="127">
        <v>5</v>
      </c>
      <c r="E31" s="127">
        <v>5</v>
      </c>
      <c r="F31" s="127">
        <v>5</v>
      </c>
      <c r="G31" s="132">
        <v>5</v>
      </c>
    </row>
    <row r="32" spans="2:7">
      <c r="B32" s="121" t="s">
        <v>74</v>
      </c>
      <c r="C32" s="127">
        <v>5</v>
      </c>
      <c r="D32" s="127">
        <v>5</v>
      </c>
      <c r="E32" s="127">
        <v>5</v>
      </c>
      <c r="F32" s="127">
        <v>5</v>
      </c>
      <c r="G32" s="132">
        <v>5</v>
      </c>
    </row>
    <row r="33" spans="2:10">
      <c r="B33" s="120" t="s">
        <v>75</v>
      </c>
      <c r="C33" s="127">
        <v>5</v>
      </c>
      <c r="D33" s="127">
        <v>5</v>
      </c>
      <c r="E33" s="127">
        <v>5</v>
      </c>
      <c r="F33" s="127">
        <v>5</v>
      </c>
      <c r="G33" s="132">
        <v>5</v>
      </c>
    </row>
    <row r="34" spans="2:10">
      <c r="B34" s="120" t="s">
        <v>76</v>
      </c>
      <c r="C34" s="127">
        <v>2</v>
      </c>
      <c r="D34" s="127">
        <v>2</v>
      </c>
      <c r="E34" s="127">
        <v>2</v>
      </c>
      <c r="F34" s="127">
        <v>2</v>
      </c>
      <c r="G34" s="132">
        <v>2</v>
      </c>
    </row>
    <row r="35" spans="2:10">
      <c r="B35" s="120" t="s">
        <v>77</v>
      </c>
      <c r="C35" s="127">
        <v>5</v>
      </c>
      <c r="D35" s="127">
        <v>5</v>
      </c>
      <c r="E35" s="127">
        <v>5</v>
      </c>
      <c r="F35" s="127">
        <v>5</v>
      </c>
      <c r="G35" s="132">
        <v>5</v>
      </c>
    </row>
    <row r="36" spans="2:10">
      <c r="B36" s="120" t="s">
        <v>78</v>
      </c>
      <c r="C36" s="127">
        <v>2</v>
      </c>
      <c r="D36" s="127">
        <v>2</v>
      </c>
      <c r="E36" s="127">
        <v>2</v>
      </c>
      <c r="F36" s="127">
        <v>2</v>
      </c>
      <c r="G36" s="132">
        <v>2</v>
      </c>
    </row>
    <row r="37" spans="2:10">
      <c r="B37" s="120" t="s">
        <v>79</v>
      </c>
      <c r="C37" s="139">
        <v>10</v>
      </c>
      <c r="D37" s="139">
        <v>10</v>
      </c>
      <c r="E37" s="139">
        <v>10</v>
      </c>
      <c r="F37" s="139">
        <v>10</v>
      </c>
      <c r="G37" s="140">
        <v>10</v>
      </c>
    </row>
    <row r="38" spans="2:10">
      <c r="B38" s="120" t="s">
        <v>80</v>
      </c>
      <c r="C38" s="139">
        <v>5</v>
      </c>
      <c r="D38" s="139">
        <v>5</v>
      </c>
      <c r="E38" s="139">
        <v>5</v>
      </c>
      <c r="F38" s="139">
        <v>5</v>
      </c>
      <c r="G38" s="140">
        <v>5</v>
      </c>
    </row>
    <row r="39" spans="2:10" s="117" customFormat="1" ht="36" customHeight="1" thickBot="1">
      <c r="B39" s="120" t="s">
        <v>81</v>
      </c>
      <c r="C39" s="141">
        <v>5</v>
      </c>
      <c r="D39" s="141">
        <v>5</v>
      </c>
      <c r="E39" s="141">
        <v>5</v>
      </c>
      <c r="F39" s="141">
        <v>5</v>
      </c>
      <c r="G39" s="142">
        <v>5</v>
      </c>
    </row>
    <row r="40" spans="2:10" s="117" customFormat="1" ht="18">
      <c r="B40" s="128" t="s">
        <v>56</v>
      </c>
      <c r="C40" s="135"/>
      <c r="D40" s="136"/>
      <c r="E40" s="136"/>
      <c r="F40" s="136"/>
      <c r="G40" s="137"/>
    </row>
    <row r="41" spans="2:10" s="117" customFormat="1" ht="18.600000000000001" thickBot="1">
      <c r="B41" s="129" t="s">
        <v>82</v>
      </c>
      <c r="C41" s="145">
        <f>SUM(C26:C39)</f>
        <v>78</v>
      </c>
      <c r="D41" s="148">
        <f>SUM(D26:D39)</f>
        <v>78</v>
      </c>
      <c r="E41" s="148">
        <f>SUM(E26:E39)</f>
        <v>78</v>
      </c>
      <c r="F41" s="148">
        <f>SUM(F26:F39)</f>
        <v>78</v>
      </c>
      <c r="G41" s="149">
        <f>SUM(G26:G39)</f>
        <v>78</v>
      </c>
    </row>
    <row r="42" spans="2:10" ht="16.2" thickBot="1"/>
    <row r="43" spans="2:10" ht="16.2" thickBot="1">
      <c r="B43" s="161" t="s">
        <v>83</v>
      </c>
      <c r="C43" s="162"/>
      <c r="D43" s="162"/>
      <c r="E43" s="162"/>
      <c r="F43" s="162"/>
      <c r="G43" s="163"/>
    </row>
    <row r="44" spans="2:10">
      <c r="B44" s="123" t="s">
        <v>50</v>
      </c>
      <c r="C44" s="164" t="s">
        <v>51</v>
      </c>
      <c r="D44" s="165"/>
      <c r="E44" s="165"/>
      <c r="F44" s="165"/>
      <c r="G44" s="166"/>
    </row>
    <row r="45" spans="2:10">
      <c r="B45" s="120" t="s">
        <v>84</v>
      </c>
      <c r="C45" s="139">
        <v>2</v>
      </c>
      <c r="D45" s="139">
        <v>2</v>
      </c>
      <c r="E45" s="139">
        <v>2</v>
      </c>
      <c r="F45" s="139">
        <v>2</v>
      </c>
      <c r="G45" s="140">
        <v>2</v>
      </c>
    </row>
    <row r="46" spans="2:10">
      <c r="B46" s="120" t="s">
        <v>85</v>
      </c>
      <c r="C46" s="139">
        <v>2</v>
      </c>
      <c r="D46" s="139">
        <v>2</v>
      </c>
      <c r="E46" s="139">
        <v>2</v>
      </c>
      <c r="F46" s="139">
        <v>2</v>
      </c>
      <c r="G46" s="140">
        <v>2</v>
      </c>
    </row>
    <row r="47" spans="2:10">
      <c r="B47" s="120" t="s">
        <v>86</v>
      </c>
      <c r="C47" s="139">
        <v>2</v>
      </c>
      <c r="D47" s="139">
        <v>2</v>
      </c>
      <c r="E47" s="139">
        <v>2</v>
      </c>
      <c r="F47" s="139">
        <v>2</v>
      </c>
      <c r="G47" s="140">
        <v>2</v>
      </c>
      <c r="J47" s="122"/>
    </row>
    <row r="48" spans="2:10" ht="16.2" thickBot="1">
      <c r="B48" s="138" t="s">
        <v>87</v>
      </c>
      <c r="C48" s="143">
        <v>2</v>
      </c>
      <c r="D48" s="143">
        <v>2</v>
      </c>
      <c r="E48" s="143">
        <v>2</v>
      </c>
      <c r="F48" s="143">
        <v>2</v>
      </c>
      <c r="G48" s="144">
        <v>2</v>
      </c>
    </row>
    <row r="49" spans="2:7" s="117" customFormat="1" ht="68.25" customHeight="1">
      <c r="B49" s="128" t="s">
        <v>56</v>
      </c>
      <c r="C49" s="135"/>
      <c r="D49" s="136"/>
      <c r="E49" s="136"/>
      <c r="F49" s="136"/>
      <c r="G49" s="137"/>
    </row>
    <row r="50" spans="2:7" s="117" customFormat="1" ht="18.600000000000001" thickBot="1">
      <c r="B50" s="129" t="s">
        <v>88</v>
      </c>
      <c r="C50" s="145">
        <f>SUM(C45:C48)</f>
        <v>8</v>
      </c>
      <c r="D50" s="146">
        <f>SUM(D45:D48)</f>
        <v>8</v>
      </c>
      <c r="E50" s="146">
        <f>SUM(E45:E48)</f>
        <v>8</v>
      </c>
      <c r="F50" s="146">
        <f>SUM(F45:F48)</f>
        <v>8</v>
      </c>
      <c r="G50" s="147">
        <f>SUM(G45:G48)</f>
        <v>8</v>
      </c>
    </row>
    <row r="51" spans="2:7" s="117" customFormat="1" ht="18.600000000000001" thickBot="1">
      <c r="B51" s="104"/>
      <c r="C51" s="107"/>
      <c r="D51" s="107"/>
      <c r="E51" s="107"/>
      <c r="F51" s="107"/>
      <c r="G51" s="107"/>
    </row>
    <row r="52" spans="2:7" ht="16.2" thickBot="1">
      <c r="B52" s="161" t="s">
        <v>89</v>
      </c>
      <c r="C52" s="162"/>
      <c r="D52" s="162"/>
      <c r="E52" s="162"/>
      <c r="F52" s="162"/>
      <c r="G52" s="163"/>
    </row>
    <row r="53" spans="2:7">
      <c r="B53" s="119" t="s">
        <v>50</v>
      </c>
      <c r="C53" s="167" t="s">
        <v>51</v>
      </c>
      <c r="D53" s="168"/>
      <c r="E53" s="168"/>
      <c r="F53" s="168"/>
      <c r="G53" s="169"/>
    </row>
    <row r="54" spans="2:7">
      <c r="B54" s="120" t="s">
        <v>90</v>
      </c>
      <c r="C54" s="139">
        <v>10</v>
      </c>
      <c r="D54" s="139">
        <v>10</v>
      </c>
      <c r="E54" s="139">
        <v>10</v>
      </c>
      <c r="F54" s="139">
        <v>10</v>
      </c>
      <c r="G54" s="140">
        <v>10</v>
      </c>
    </row>
    <row r="55" spans="2:7" ht="16.2" thickBot="1">
      <c r="B55" s="138" t="s">
        <v>91</v>
      </c>
      <c r="C55" s="133">
        <v>5</v>
      </c>
      <c r="D55" s="133">
        <v>5</v>
      </c>
      <c r="E55" s="133">
        <v>5</v>
      </c>
      <c r="F55" s="133">
        <v>5</v>
      </c>
      <c r="G55" s="134">
        <v>5</v>
      </c>
    </row>
    <row r="56" spans="2:7">
      <c r="B56" s="128" t="s">
        <v>56</v>
      </c>
      <c r="C56" s="135"/>
      <c r="D56" s="136"/>
      <c r="E56" s="136"/>
      <c r="F56" s="136"/>
      <c r="G56" s="137"/>
    </row>
    <row r="57" spans="2:7" ht="16.2" thickBot="1">
      <c r="B57" s="129" t="s">
        <v>92</v>
      </c>
      <c r="C57" s="145">
        <f>SUM(C54:C55)</f>
        <v>15</v>
      </c>
      <c r="D57" s="146">
        <f>SUM(D54:D55)</f>
        <v>15</v>
      </c>
      <c r="E57" s="146">
        <f>SUM(E54:E55)</f>
        <v>15</v>
      </c>
      <c r="F57" s="146">
        <f>SUM(F54:F55)</f>
        <v>15</v>
      </c>
      <c r="G57" s="147">
        <f>SUM(G54:G55)</f>
        <v>15</v>
      </c>
    </row>
    <row r="58" spans="2:7" s="117" customFormat="1" ht="58.5" customHeight="1">
      <c r="B58" s="104"/>
      <c r="C58" s="107"/>
      <c r="D58" s="107"/>
      <c r="E58" s="107"/>
      <c r="F58" s="107"/>
      <c r="G58" s="107"/>
    </row>
    <row r="59" spans="2:7" ht="15.6" customHeight="1">
      <c r="C59" s="124"/>
      <c r="D59" s="124"/>
      <c r="E59" s="124"/>
      <c r="F59" s="124"/>
      <c r="G59" s="124"/>
    </row>
    <row r="66" spans="2:7" s="117" customFormat="1" ht="73.5" customHeight="1">
      <c r="B66" s="104"/>
      <c r="C66" s="107"/>
      <c r="D66" s="107"/>
      <c r="E66" s="107"/>
      <c r="F66" s="107"/>
      <c r="G66" s="107"/>
    </row>
    <row r="67" spans="2:7" s="117" customFormat="1" ht="18">
      <c r="B67" s="104"/>
      <c r="C67" s="107"/>
      <c r="D67" s="107"/>
      <c r="E67" s="107"/>
      <c r="F67" s="107"/>
      <c r="G67" s="107"/>
    </row>
    <row r="68" spans="2:7" s="117" customFormat="1" ht="18">
      <c r="B68" s="104"/>
      <c r="C68" s="107"/>
      <c r="D68" s="107"/>
      <c r="E68" s="107"/>
      <c r="F68" s="107"/>
      <c r="G68" s="107"/>
    </row>
  </sheetData>
  <mergeCells count="14">
    <mergeCell ref="C3:D3"/>
    <mergeCell ref="E3:G3"/>
    <mergeCell ref="B6:G6"/>
    <mergeCell ref="C7:G7"/>
    <mergeCell ref="C9:G9"/>
    <mergeCell ref="B43:G43"/>
    <mergeCell ref="C44:G44"/>
    <mergeCell ref="B52:G52"/>
    <mergeCell ref="C53:G53"/>
    <mergeCell ref="B12:G12"/>
    <mergeCell ref="C13:G13"/>
    <mergeCell ref="C21:G21"/>
    <mergeCell ref="B24:G24"/>
    <mergeCell ref="C25:G25"/>
  </mergeCells>
  <dataValidations count="6">
    <dataValidation type="list" showInputMessage="1" showErrorMessage="1" sqref="C35:G35 C8:G8 C31:G33 C38:G38" xr:uid="{D9CE2EC8-A63A-4008-9D3D-3600C8A4B919}">
      <formula1>"0,1,2,3,4,5"</formula1>
    </dataValidation>
    <dataValidation type="list" showInputMessage="1" showErrorMessage="1" sqref="C37:G37 C54:G54" xr:uid="{4777BE0D-184D-422C-8795-0709594D0790}">
      <formula1>"0,1,2,3,4,5,6,7,8,9,10"</formula1>
    </dataValidation>
    <dataValidation type="list" allowBlank="1" showInputMessage="1" showErrorMessage="1" sqref="C39:G39 C14:G20 C55:G55" xr:uid="{DEF4151E-542D-4127-AC69-964762EF614B}">
      <formula1>"0,1,2,3,4,5"</formula1>
    </dataValidation>
    <dataValidation type="list" allowBlank="1" showInputMessage="1" showErrorMessage="1" sqref="C26:G28" xr:uid="{E946A2D3-D008-4F3A-9B07-BB4DD82E6D76}">
      <formula1>"0,1,2,3,4,5,6,7,8,9,10"</formula1>
    </dataValidation>
    <dataValidation type="list" showInputMessage="1" showErrorMessage="1" sqref="C29:G30 C34:G34 C36:G37 C45:G48" xr:uid="{CF5412BE-7E43-4766-87C4-95003C47E448}">
      <formula1>"0,1,2"</formula1>
    </dataValidation>
    <dataValidation allowBlank="1" showInputMessage="1" showErrorMessage="1" sqref="L8:L12" xr:uid="{7E7C2BBC-6FEF-40EC-B3C7-77FE07944A80}"/>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0DD1080-E64C-49BC-A350-ACF5BD1B3A60}">
          <x14:formula1>
            <xm:f>'DATA &amp; RECAP'!$C$6:$C$32</xm:f>
          </x14:formula1>
          <xm:sqref>K8:K12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F3198-8294-4D15-A914-BAF4A6FBA8CC}">
  <sheetPr codeName="Feuil10">
    <tabColor theme="4" tint="0.79998168889431442"/>
  </sheetPr>
  <dimension ref="A1:M59"/>
  <sheetViews>
    <sheetView workbookViewId="0">
      <selection activeCell="J19" sqref="J19"/>
    </sheetView>
  </sheetViews>
  <sheetFormatPr baseColWidth="10" defaultColWidth="11" defaultRowHeight="15.6"/>
  <cols>
    <col min="1" max="1" width="5.3984375" style="104" customWidth="1"/>
    <col min="2" max="2" width="119.3984375" style="104" customWidth="1"/>
    <col min="3" max="7" width="11.3984375" style="107" customWidth="1"/>
    <col min="8" max="9" width="2.09765625" style="104" customWidth="1"/>
    <col min="10" max="10" width="10.3984375" style="104" customWidth="1"/>
    <col min="11" max="11" width="11.59765625" style="104" customWidth="1"/>
    <col min="12" max="12" width="19.69921875" style="104" customWidth="1"/>
    <col min="13" max="13" width="18.8984375" style="104" customWidth="1"/>
    <col min="14" max="16384" width="11" style="104"/>
  </cols>
  <sheetData>
    <row r="1" spans="1:13" ht="16.2" thickBot="1">
      <c r="A1" s="126"/>
      <c r="B1" s="156" t="s">
        <v>17</v>
      </c>
    </row>
    <row r="2" spans="1:13" ht="16.2" thickBot="1">
      <c r="A2" s="125"/>
      <c r="B2" s="156" t="s">
        <v>18</v>
      </c>
    </row>
    <row r="3" spans="1:13" ht="18.600000000000001" thickBot="1">
      <c r="B3" s="103"/>
      <c r="C3" s="173" t="s">
        <v>42</v>
      </c>
      <c r="D3" s="174"/>
      <c r="E3" s="175" t="s">
        <v>43</v>
      </c>
      <c r="F3" s="175"/>
      <c r="G3" s="176"/>
      <c r="J3" s="126"/>
      <c r="K3" s="105" t="s">
        <v>17</v>
      </c>
    </row>
    <row r="4" spans="1:13" ht="26.4" thickBot="1">
      <c r="B4" s="86" t="s">
        <v>8</v>
      </c>
      <c r="J4" s="125"/>
      <c r="K4" s="108" t="s">
        <v>18</v>
      </c>
    </row>
    <row r="5" spans="1:13" ht="31.8" thickBot="1">
      <c r="B5" s="109"/>
      <c r="C5" s="110" t="s">
        <v>44</v>
      </c>
      <c r="D5" s="111" t="s">
        <v>45</v>
      </c>
      <c r="E5" s="111" t="s">
        <v>46</v>
      </c>
      <c r="F5" s="111" t="s">
        <v>47</v>
      </c>
      <c r="G5" s="112" t="s">
        <v>48</v>
      </c>
    </row>
    <row r="6" spans="1:13" ht="18.75" customHeight="1" thickBot="1">
      <c r="B6" s="161" t="s">
        <v>93</v>
      </c>
      <c r="C6" s="162"/>
      <c r="D6" s="162"/>
      <c r="E6" s="162"/>
      <c r="F6" s="162"/>
      <c r="G6" s="163"/>
    </row>
    <row r="7" spans="1:13" ht="18.75" customHeight="1">
      <c r="B7" s="119" t="s">
        <v>50</v>
      </c>
      <c r="C7" s="167" t="s">
        <v>51</v>
      </c>
      <c r="D7" s="168"/>
      <c r="E7" s="168"/>
      <c r="F7" s="168"/>
      <c r="G7" s="169"/>
      <c r="J7" s="106"/>
      <c r="K7" s="153" t="s">
        <v>52</v>
      </c>
      <c r="L7" s="113" t="s">
        <v>29</v>
      </c>
      <c r="M7" s="114" t="s">
        <v>94</v>
      </c>
    </row>
    <row r="8" spans="1:13">
      <c r="B8" s="120" t="s">
        <v>95</v>
      </c>
      <c r="C8" s="127">
        <v>5</v>
      </c>
      <c r="D8" s="127">
        <v>5</v>
      </c>
      <c r="E8" s="127">
        <v>5</v>
      </c>
      <c r="F8" s="127">
        <v>5</v>
      </c>
      <c r="G8" s="132">
        <v>5</v>
      </c>
      <c r="J8" s="152" t="s">
        <v>55</v>
      </c>
      <c r="K8" s="115" t="s">
        <v>34</v>
      </c>
      <c r="L8" s="115" t="str">
        <f>_xlfn.XLOOKUP(K8,'DATA &amp; RECAP'!C6:C32,'DATA &amp; RECAP'!D6:D32,"Sélectionnez un nom")</f>
        <v>Christophe</v>
      </c>
      <c r="M8" s="115">
        <f>IFERROR(SUM(C20)*20/'VIDEO M1 &amp; M2'!$B$17,"")</f>
        <v>20</v>
      </c>
    </row>
    <row r="9" spans="1:13">
      <c r="B9" s="120" t="s">
        <v>96</v>
      </c>
      <c r="C9" s="127">
        <v>10</v>
      </c>
      <c r="D9" s="127">
        <v>10</v>
      </c>
      <c r="E9" s="127">
        <v>10</v>
      </c>
      <c r="F9" s="127">
        <v>10</v>
      </c>
      <c r="G9" s="132">
        <v>10</v>
      </c>
      <c r="J9" s="152" t="s">
        <v>45</v>
      </c>
      <c r="K9" s="115" t="s">
        <v>38</v>
      </c>
      <c r="L9" s="115" t="s">
        <v>39</v>
      </c>
      <c r="M9" s="115">
        <f>IFERROR(SUM(D20)*20/'VIDEO M1 &amp; M2'!$B$17,"")</f>
        <v>20</v>
      </c>
    </row>
    <row r="10" spans="1:13">
      <c r="B10" s="138" t="s">
        <v>97</v>
      </c>
      <c r="C10" s="127">
        <v>10</v>
      </c>
      <c r="D10" s="127">
        <v>10</v>
      </c>
      <c r="E10" s="127">
        <v>10</v>
      </c>
      <c r="F10" s="127">
        <v>10</v>
      </c>
      <c r="G10" s="132">
        <v>10</v>
      </c>
      <c r="J10" s="152" t="s">
        <v>46</v>
      </c>
      <c r="K10" s="115" t="s">
        <v>36</v>
      </c>
      <c r="L10" s="115" t="s">
        <v>37</v>
      </c>
      <c r="M10" s="115">
        <f>IFERROR(SUM(E20)*20/'VIDEO M1 &amp; M2'!$B$17,"")</f>
        <v>20</v>
      </c>
    </row>
    <row r="11" spans="1:13">
      <c r="B11" s="120" t="s">
        <v>98</v>
      </c>
      <c r="C11" s="127">
        <v>5</v>
      </c>
      <c r="D11" s="127">
        <v>5</v>
      </c>
      <c r="E11" s="127">
        <v>5</v>
      </c>
      <c r="F11" s="127">
        <v>5</v>
      </c>
      <c r="G11" s="132">
        <v>5</v>
      </c>
      <c r="J11" s="152" t="s">
        <v>47</v>
      </c>
      <c r="K11" s="115" t="s">
        <v>40</v>
      </c>
      <c r="L11" s="115" t="s">
        <v>41</v>
      </c>
      <c r="M11" s="115">
        <f>IFERROR(SUM(F20)*20/'VIDEO M1 &amp; M2'!$B$17,"")</f>
        <v>20</v>
      </c>
    </row>
    <row r="12" spans="1:13">
      <c r="B12" s="120" t="s">
        <v>99</v>
      </c>
      <c r="C12" s="127">
        <v>2</v>
      </c>
      <c r="D12" s="127">
        <v>2</v>
      </c>
      <c r="E12" s="127">
        <v>2</v>
      </c>
      <c r="F12" s="127">
        <v>2</v>
      </c>
      <c r="G12" s="132">
        <v>2</v>
      </c>
      <c r="J12" s="152" t="s">
        <v>48</v>
      </c>
      <c r="K12" s="115" t="s">
        <v>40</v>
      </c>
      <c r="L12" s="115" t="s">
        <v>41</v>
      </c>
      <c r="M12" s="115">
        <f>IFERROR(SUM(G20)*20/'VIDEO M1 &amp; M2'!$B$17,"")</f>
        <v>20</v>
      </c>
    </row>
    <row r="13" spans="1:13" ht="15" customHeight="1">
      <c r="B13" s="120" t="s">
        <v>100</v>
      </c>
      <c r="C13" s="127">
        <v>10</v>
      </c>
      <c r="D13" s="127">
        <v>10</v>
      </c>
      <c r="E13" s="127">
        <v>10</v>
      </c>
      <c r="F13" s="127">
        <v>10</v>
      </c>
      <c r="G13" s="132">
        <v>10</v>
      </c>
    </row>
    <row r="14" spans="1:13" s="117" customFormat="1" ht="36.75" customHeight="1">
      <c r="B14" s="120" t="s">
        <v>101</v>
      </c>
      <c r="C14" s="127">
        <v>2</v>
      </c>
      <c r="D14" s="127">
        <v>2</v>
      </c>
      <c r="E14" s="127">
        <v>2</v>
      </c>
      <c r="F14" s="127">
        <v>2</v>
      </c>
      <c r="G14" s="132">
        <v>2</v>
      </c>
    </row>
    <row r="15" spans="1:13">
      <c r="B15" s="120" t="s">
        <v>102</v>
      </c>
      <c r="C15" s="139">
        <v>5</v>
      </c>
      <c r="D15" s="139">
        <v>5</v>
      </c>
      <c r="E15" s="139">
        <v>5</v>
      </c>
      <c r="F15" s="139">
        <v>5</v>
      </c>
      <c r="G15" s="140">
        <v>5</v>
      </c>
      <c r="H15" s="104" t="s">
        <v>103</v>
      </c>
    </row>
    <row r="16" spans="1:13">
      <c r="B16" s="120" t="s">
        <v>104</v>
      </c>
      <c r="C16" s="139">
        <v>5</v>
      </c>
      <c r="D16" s="139">
        <v>5</v>
      </c>
      <c r="E16" s="139">
        <v>5</v>
      </c>
      <c r="F16" s="139">
        <v>5</v>
      </c>
      <c r="G16" s="140">
        <v>5</v>
      </c>
    </row>
    <row r="17" spans="2:7">
      <c r="B17" s="120" t="s">
        <v>105</v>
      </c>
      <c r="C17" s="139">
        <v>5</v>
      </c>
      <c r="D17" s="139">
        <v>5</v>
      </c>
      <c r="E17" s="139">
        <v>5</v>
      </c>
      <c r="F17" s="139">
        <v>5</v>
      </c>
      <c r="G17" s="140">
        <v>5</v>
      </c>
    </row>
    <row r="18" spans="2:7" ht="18" customHeight="1" thickBot="1">
      <c r="B18" s="120" t="s">
        <v>106</v>
      </c>
      <c r="C18" s="139">
        <v>5</v>
      </c>
      <c r="D18" s="139">
        <v>5</v>
      </c>
      <c r="E18" s="139">
        <v>5</v>
      </c>
      <c r="F18" s="139">
        <v>5</v>
      </c>
      <c r="G18" s="140">
        <v>5</v>
      </c>
    </row>
    <row r="19" spans="2:7">
      <c r="B19" s="128" t="s">
        <v>56</v>
      </c>
      <c r="C19" s="135"/>
      <c r="D19" s="136"/>
      <c r="E19" s="136"/>
      <c r="F19" s="136"/>
      <c r="G19" s="137"/>
    </row>
    <row r="20" spans="2:7" ht="16.2" thickBot="1">
      <c r="B20" s="129" t="s">
        <v>107</v>
      </c>
      <c r="C20" s="145">
        <f>SUM(C8:C18)</f>
        <v>64</v>
      </c>
      <c r="D20" s="148">
        <f>SUM(D8:D18)</f>
        <v>64</v>
      </c>
      <c r="E20" s="148">
        <f>SUM(E8:E18)</f>
        <v>64</v>
      </c>
      <c r="F20" s="148">
        <f>SUM(F8:F18)</f>
        <v>64</v>
      </c>
      <c r="G20" s="149">
        <f>SUM(G8:G18)</f>
        <v>64</v>
      </c>
    </row>
    <row r="23" spans="2:7">
      <c r="C23" s="124"/>
      <c r="D23" s="124"/>
      <c r="E23" s="124"/>
      <c r="F23" s="124"/>
      <c r="G23" s="124"/>
    </row>
    <row r="30" spans="2:7" s="117" customFormat="1" ht="36" customHeight="1">
      <c r="B30" s="104"/>
      <c r="C30" s="107"/>
      <c r="D30" s="107"/>
      <c r="E30" s="107"/>
      <c r="F30" s="107"/>
      <c r="G30" s="107"/>
    </row>
    <row r="31" spans="2:7" s="117" customFormat="1" ht="18">
      <c r="B31" s="104"/>
      <c r="C31" s="107"/>
      <c r="D31" s="107"/>
      <c r="E31" s="107"/>
      <c r="F31" s="107"/>
      <c r="G31" s="107"/>
    </row>
    <row r="32" spans="2:7" s="117" customFormat="1" ht="18">
      <c r="B32" s="104"/>
      <c r="C32" s="107"/>
      <c r="D32" s="107"/>
      <c r="E32" s="107"/>
      <c r="F32" s="107"/>
      <c r="G32" s="107"/>
    </row>
    <row r="38" spans="2:10">
      <c r="J38" s="122"/>
    </row>
    <row r="40" spans="2:10" s="117" customFormat="1" ht="68.25" customHeight="1">
      <c r="B40" s="104"/>
      <c r="C40" s="107"/>
      <c r="D40" s="107"/>
      <c r="E40" s="107"/>
      <c r="F40" s="107"/>
      <c r="G40" s="107"/>
    </row>
    <row r="41" spans="2:10" s="117" customFormat="1" ht="18">
      <c r="B41" s="104"/>
      <c r="C41" s="107"/>
      <c r="D41" s="107"/>
      <c r="E41" s="107"/>
      <c r="F41" s="107"/>
      <c r="G41" s="107"/>
    </row>
    <row r="42" spans="2:10" s="117" customFormat="1" ht="18">
      <c r="B42" s="104"/>
      <c r="C42" s="107"/>
      <c r="D42" s="107"/>
      <c r="E42" s="107"/>
      <c r="F42" s="107"/>
      <c r="G42" s="107"/>
    </row>
    <row r="49" spans="2:7" s="117" customFormat="1" ht="58.5" customHeight="1">
      <c r="B49" s="104"/>
      <c r="C49" s="107"/>
      <c r="D49" s="107"/>
      <c r="E49" s="107"/>
      <c r="F49" s="107"/>
      <c r="G49" s="107"/>
    </row>
    <row r="50" spans="2:7" ht="15.6" customHeight="1"/>
    <row r="57" spans="2:7" s="117" customFormat="1" ht="73.5" customHeight="1">
      <c r="B57" s="104"/>
      <c r="C57" s="107"/>
      <c r="D57" s="107"/>
      <c r="E57" s="107"/>
      <c r="F57" s="107"/>
      <c r="G57" s="107"/>
    </row>
    <row r="58" spans="2:7" s="117" customFormat="1" ht="18">
      <c r="B58" s="104"/>
      <c r="C58" s="107"/>
      <c r="D58" s="107"/>
      <c r="E58" s="107"/>
      <c r="F58" s="107"/>
      <c r="G58" s="107"/>
    </row>
    <row r="59" spans="2:7" s="117" customFormat="1" ht="18">
      <c r="B59" s="104"/>
      <c r="C59" s="107"/>
      <c r="D59" s="107"/>
      <c r="E59" s="107"/>
      <c r="F59" s="107"/>
      <c r="G59" s="107"/>
    </row>
  </sheetData>
  <mergeCells count="4">
    <mergeCell ref="C7:G7"/>
    <mergeCell ref="C3:D3"/>
    <mergeCell ref="E3:G3"/>
    <mergeCell ref="B6:G6"/>
  </mergeCells>
  <dataValidations count="5">
    <dataValidation type="list" showInputMessage="1" showErrorMessage="1" sqref="C12:G12 C14:G14" xr:uid="{9250288E-46ED-42F9-B187-EC6516400DC7}">
      <formula1>"0,1,2"</formula1>
    </dataValidation>
    <dataValidation type="list" allowBlank="1" showInputMessage="1" showErrorMessage="1" sqref="C9:G10 C13:G13" xr:uid="{DEF3F7BC-99E6-4899-A0AB-20A1D3A90225}">
      <formula1>"0,1,2,3,4,5,6,7,8,9,10"</formula1>
    </dataValidation>
    <dataValidation type="list" allowBlank="1" showInputMessage="1" showErrorMessage="1" sqref="C8:G8" xr:uid="{070D2438-2B04-4F48-940A-0338B3D08552}">
      <formula1>"0,1,2,3,4,5"</formula1>
    </dataValidation>
    <dataValidation type="list" showInputMessage="1" showErrorMessage="1" sqref="C15:G18 C11:G11 C15:G18" xr:uid="{D31DBD81-E346-4401-8A0A-5E1CA4ABF8E4}">
      <formula1>"0,1,2,3,4,5"</formula1>
    </dataValidation>
    <dataValidation allowBlank="1" showInputMessage="1" showErrorMessage="1" sqref="L8:L12" xr:uid="{604A9F1B-78D9-4110-ABA5-4F97191BF7FF}"/>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92D9588-2907-42FA-90A7-E0154D7D28FF}">
          <x14:formula1>
            <xm:f>'DATA &amp; RECAP'!$C$6:$C$32</xm:f>
          </x14:formula1>
          <xm:sqref>K8:K12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FF5DC-0379-483A-B2A0-B2DBA80A808F}">
  <sheetPr codeName="Feuil11">
    <tabColor theme="4" tint="0.59999389629810485"/>
  </sheetPr>
  <dimension ref="A1:M69"/>
  <sheetViews>
    <sheetView topLeftCell="B50" workbookViewId="0">
      <selection activeCell="M12" sqref="M12"/>
    </sheetView>
  </sheetViews>
  <sheetFormatPr baseColWidth="10" defaultColWidth="11" defaultRowHeight="15.6"/>
  <cols>
    <col min="1" max="1" width="5.3984375" style="104" customWidth="1"/>
    <col min="2" max="2" width="119.3984375" style="104" customWidth="1"/>
    <col min="3" max="7" width="11.3984375" style="107" customWidth="1"/>
    <col min="8" max="9" width="2.09765625" style="104" customWidth="1"/>
    <col min="10" max="10" width="10.3984375" style="104" customWidth="1"/>
    <col min="11" max="11" width="11.59765625" style="104" customWidth="1"/>
    <col min="12" max="12" width="19.69921875" style="104" customWidth="1"/>
    <col min="13" max="13" width="26.69921875" style="104" customWidth="1"/>
    <col min="14" max="16384" width="11" style="104"/>
  </cols>
  <sheetData>
    <row r="1" spans="1:13" ht="16.2" thickBot="1">
      <c r="A1" s="126"/>
      <c r="B1" s="156" t="s">
        <v>17</v>
      </c>
    </row>
    <row r="2" spans="1:13" ht="16.2" thickBot="1">
      <c r="A2" s="125"/>
      <c r="B2" s="156" t="s">
        <v>18</v>
      </c>
    </row>
    <row r="3" spans="1:13" ht="18.600000000000001" thickBot="1">
      <c r="B3" s="103"/>
      <c r="C3" s="173" t="s">
        <v>42</v>
      </c>
      <c r="D3" s="174"/>
      <c r="E3" s="175" t="s">
        <v>43</v>
      </c>
      <c r="F3" s="175"/>
      <c r="G3" s="176"/>
      <c r="J3" s="126"/>
      <c r="K3" s="105" t="s">
        <v>17</v>
      </c>
    </row>
    <row r="4" spans="1:13" ht="26.4" thickBot="1">
      <c r="B4" s="86" t="s">
        <v>8</v>
      </c>
      <c r="J4" s="125"/>
      <c r="K4" s="108" t="s">
        <v>18</v>
      </c>
    </row>
    <row r="5" spans="1:13" ht="31.8" thickBot="1">
      <c r="B5" s="109"/>
      <c r="C5" s="110" t="s">
        <v>44</v>
      </c>
      <c r="D5" s="111" t="s">
        <v>45</v>
      </c>
      <c r="E5" s="111" t="s">
        <v>46</v>
      </c>
      <c r="F5" s="111" t="s">
        <v>47</v>
      </c>
      <c r="G5" s="112" t="s">
        <v>48</v>
      </c>
    </row>
    <row r="6" spans="1:13" ht="18.75" customHeight="1" thickBot="1">
      <c r="B6" s="177" t="s">
        <v>49</v>
      </c>
      <c r="C6" s="178"/>
      <c r="D6" s="178"/>
      <c r="E6" s="178"/>
      <c r="F6" s="178"/>
      <c r="G6" s="179"/>
    </row>
    <row r="7" spans="1:13" ht="18.75" customHeight="1">
      <c r="B7" s="130" t="s">
        <v>50</v>
      </c>
      <c r="C7" s="180" t="s">
        <v>51</v>
      </c>
      <c r="D7" s="181"/>
      <c r="E7" s="181"/>
      <c r="F7" s="181"/>
      <c r="G7" s="182"/>
      <c r="J7" s="106"/>
      <c r="K7" s="153" t="s">
        <v>52</v>
      </c>
      <c r="L7" s="113" t="s">
        <v>29</v>
      </c>
      <c r="M7" s="114" t="s">
        <v>53</v>
      </c>
    </row>
    <row r="8" spans="1:13">
      <c r="B8" s="131" t="s">
        <v>108</v>
      </c>
      <c r="C8" s="127">
        <v>10</v>
      </c>
      <c r="D8" s="127">
        <v>10</v>
      </c>
      <c r="E8" s="127">
        <v>10</v>
      </c>
      <c r="F8" s="127">
        <v>10</v>
      </c>
      <c r="G8" s="132">
        <v>10</v>
      </c>
      <c r="J8" s="152" t="s">
        <v>55</v>
      </c>
      <c r="K8" s="115" t="s">
        <v>34</v>
      </c>
      <c r="L8" s="115" t="str">
        <f>_xlfn.XLOOKUP(K8,'DATA &amp; RECAP'!C6:C32,'DATA &amp; RECAP'!D6:D32,"Sélectionnez un nom")</f>
        <v>Christophe</v>
      </c>
      <c r="M8" s="115">
        <f>IFERROR(SUM(C11,C23,C43,C52,C59)*20/'DOSSIER TECHNIQUE M2'!C43,"")</f>
        <v>20</v>
      </c>
    </row>
    <row r="9" spans="1:13" ht="16.2" thickBot="1">
      <c r="B9" s="131" t="s">
        <v>54</v>
      </c>
      <c r="C9" s="127">
        <v>5</v>
      </c>
      <c r="D9" s="127">
        <v>5</v>
      </c>
      <c r="E9" s="127">
        <v>5</v>
      </c>
      <c r="F9" s="127">
        <v>5</v>
      </c>
      <c r="G9" s="132">
        <v>5</v>
      </c>
      <c r="H9" s="104" t="s">
        <v>103</v>
      </c>
      <c r="J9" s="152" t="s">
        <v>45</v>
      </c>
      <c r="K9" s="115" t="s">
        <v>38</v>
      </c>
      <c r="L9" s="115" t="s">
        <v>39</v>
      </c>
      <c r="M9" s="115">
        <f>IFERROR(SUM(D11,D23,D43,D52,D59)*20/'DOSSIER TECHNIQUE M2'!C43,"")</f>
        <v>20</v>
      </c>
    </row>
    <row r="10" spans="1:13">
      <c r="B10" s="128" t="s">
        <v>56</v>
      </c>
      <c r="C10" s="170"/>
      <c r="D10" s="171"/>
      <c r="E10" s="171"/>
      <c r="F10" s="171"/>
      <c r="G10" s="172"/>
      <c r="J10" s="152" t="s">
        <v>46</v>
      </c>
      <c r="K10" s="115" t="s">
        <v>40</v>
      </c>
      <c r="L10" s="115" t="s">
        <v>41</v>
      </c>
      <c r="M10" s="115">
        <f>IFERROR(SUM(F11,F23,F43,F52,F59)*20/'DOSSIER TECHNIQUE M2'!C43,"")</f>
        <v>20</v>
      </c>
    </row>
    <row r="11" spans="1:13" ht="18" customHeight="1" thickBot="1">
      <c r="B11" s="129" t="s">
        <v>92</v>
      </c>
      <c r="C11" s="145">
        <f>SUM(C8:C9)</f>
        <v>15</v>
      </c>
      <c r="D11" s="146">
        <f>SUM(D8:D9)</f>
        <v>15</v>
      </c>
      <c r="E11" s="146">
        <f>SUM(E8:E9)</f>
        <v>15</v>
      </c>
      <c r="F11" s="146">
        <f>SUM(F8:F9)</f>
        <v>15</v>
      </c>
      <c r="G11" s="147">
        <f>SUM(G8:G9)</f>
        <v>15</v>
      </c>
      <c r="J11" s="152" t="s">
        <v>47</v>
      </c>
      <c r="K11" s="115" t="s">
        <v>40</v>
      </c>
      <c r="L11" s="115" t="s">
        <v>41</v>
      </c>
      <c r="M11" s="115">
        <f>IFERROR(SUM(F11,F23,F43,F52,F59)*20/'DOSSIER TECHNIQUE M2'!C43,"")</f>
        <v>20</v>
      </c>
    </row>
    <row r="12" spans="1:13" ht="16.2" thickBot="1">
      <c r="B12" s="118"/>
      <c r="C12" s="116"/>
      <c r="D12" s="116"/>
      <c r="E12" s="116"/>
      <c r="F12" s="116"/>
      <c r="G12" s="116"/>
      <c r="J12" s="152" t="s">
        <v>48</v>
      </c>
      <c r="K12" s="115" t="s">
        <v>40</v>
      </c>
      <c r="L12" s="115" t="s">
        <v>41</v>
      </c>
      <c r="M12" s="115">
        <f>IFERROR(SUM(G11,G23,G43,G52,G59)*20/'DOSSIER TECHNIQUE M2'!C43,"")</f>
        <v>20</v>
      </c>
    </row>
    <row r="13" spans="1:13" ht="16.2" thickBot="1">
      <c r="B13" s="161" t="s">
        <v>58</v>
      </c>
      <c r="C13" s="162"/>
      <c r="D13" s="162"/>
      <c r="E13" s="162"/>
      <c r="F13" s="162"/>
      <c r="G13" s="163"/>
    </row>
    <row r="14" spans="1:13">
      <c r="B14" s="119" t="s">
        <v>50</v>
      </c>
      <c r="C14" s="167" t="s">
        <v>51</v>
      </c>
      <c r="D14" s="168"/>
      <c r="E14" s="168"/>
      <c r="F14" s="168"/>
      <c r="G14" s="169"/>
    </row>
    <row r="15" spans="1:13">
      <c r="B15" s="120" t="s">
        <v>59</v>
      </c>
      <c r="C15" s="127">
        <v>5</v>
      </c>
      <c r="D15" s="127">
        <v>5</v>
      </c>
      <c r="E15" s="127">
        <v>5</v>
      </c>
      <c r="F15" s="127">
        <v>5</v>
      </c>
      <c r="G15" s="132">
        <v>5</v>
      </c>
    </row>
    <row r="16" spans="1:13" ht="15" customHeight="1">
      <c r="B16" s="120" t="s">
        <v>60</v>
      </c>
      <c r="C16" s="133">
        <v>5</v>
      </c>
      <c r="D16" s="133">
        <v>5</v>
      </c>
      <c r="E16" s="133">
        <v>5</v>
      </c>
      <c r="F16" s="133">
        <v>5</v>
      </c>
      <c r="G16" s="132">
        <v>5</v>
      </c>
    </row>
    <row r="17" spans="2:7" s="117" customFormat="1" ht="18">
      <c r="B17" s="120" t="s">
        <v>61</v>
      </c>
      <c r="C17" s="133">
        <v>5</v>
      </c>
      <c r="D17" s="133">
        <v>5</v>
      </c>
      <c r="E17" s="133">
        <v>5</v>
      </c>
      <c r="F17" s="133">
        <v>5</v>
      </c>
      <c r="G17" s="132">
        <v>5</v>
      </c>
    </row>
    <row r="18" spans="2:7" s="117" customFormat="1" ht="18">
      <c r="B18" s="120" t="s">
        <v>62</v>
      </c>
      <c r="C18" s="133">
        <v>5</v>
      </c>
      <c r="D18" s="133">
        <v>5</v>
      </c>
      <c r="E18" s="133">
        <v>5</v>
      </c>
      <c r="F18" s="133">
        <v>5</v>
      </c>
      <c r="G18" s="132">
        <v>5</v>
      </c>
    </row>
    <row r="19" spans="2:7" s="117" customFormat="1" ht="18">
      <c r="B19" s="120" t="s">
        <v>63</v>
      </c>
      <c r="C19" s="127">
        <v>5</v>
      </c>
      <c r="D19" s="127">
        <v>5</v>
      </c>
      <c r="E19" s="127">
        <v>5</v>
      </c>
      <c r="F19" s="127">
        <v>5</v>
      </c>
      <c r="G19" s="132">
        <v>5</v>
      </c>
    </row>
    <row r="20" spans="2:7">
      <c r="B20" s="120" t="s">
        <v>64</v>
      </c>
      <c r="C20" s="133">
        <v>5</v>
      </c>
      <c r="D20" s="133">
        <v>5</v>
      </c>
      <c r="E20" s="133">
        <v>5</v>
      </c>
      <c r="F20" s="133">
        <v>5</v>
      </c>
      <c r="G20" s="132">
        <v>5</v>
      </c>
    </row>
    <row r="21" spans="2:7" ht="16.2" thickBot="1">
      <c r="B21" s="138" t="s">
        <v>65</v>
      </c>
      <c r="C21" s="133">
        <v>5</v>
      </c>
      <c r="D21" s="133">
        <v>5</v>
      </c>
      <c r="E21" s="133">
        <v>5</v>
      </c>
      <c r="F21" s="133">
        <v>5</v>
      </c>
      <c r="G21" s="134">
        <v>5</v>
      </c>
    </row>
    <row r="22" spans="2:7" ht="17.100000000000001" customHeight="1">
      <c r="B22" s="128" t="s">
        <v>56</v>
      </c>
      <c r="C22" s="170"/>
      <c r="D22" s="171"/>
      <c r="E22" s="171"/>
      <c r="F22" s="171"/>
      <c r="G22" s="172"/>
    </row>
    <row r="23" spans="2:7" ht="16.2" thickBot="1">
      <c r="B23" s="129" t="s">
        <v>66</v>
      </c>
      <c r="C23" s="145">
        <f>SUM(C15:C21)</f>
        <v>35</v>
      </c>
      <c r="D23" s="146">
        <f>SUM(D15:D21)</f>
        <v>35</v>
      </c>
      <c r="E23" s="146">
        <f>SUM(E15:E21)</f>
        <v>35</v>
      </c>
      <c r="F23" s="146">
        <f>SUM(F15:F21)</f>
        <v>35</v>
      </c>
      <c r="G23" s="147">
        <f>SUM(G15:G21)</f>
        <v>35</v>
      </c>
    </row>
    <row r="24" spans="2:7" ht="16.2" thickBot="1"/>
    <row r="25" spans="2:7" ht="16.2" thickBot="1">
      <c r="B25" s="161" t="s">
        <v>67</v>
      </c>
      <c r="C25" s="162"/>
      <c r="D25" s="162"/>
      <c r="E25" s="162"/>
      <c r="F25" s="162"/>
      <c r="G25" s="163"/>
    </row>
    <row r="26" spans="2:7">
      <c r="B26" s="119" t="s">
        <v>50</v>
      </c>
      <c r="C26" s="167" t="s">
        <v>51</v>
      </c>
      <c r="D26" s="168"/>
      <c r="E26" s="168"/>
      <c r="F26" s="168"/>
      <c r="G26" s="169"/>
    </row>
    <row r="27" spans="2:7">
      <c r="B27" s="120" t="s">
        <v>68</v>
      </c>
      <c r="C27" s="127">
        <v>10</v>
      </c>
      <c r="D27" s="127">
        <v>10</v>
      </c>
      <c r="E27" s="127">
        <v>10</v>
      </c>
      <c r="F27" s="127">
        <v>10</v>
      </c>
      <c r="G27" s="132">
        <v>10</v>
      </c>
    </row>
    <row r="28" spans="2:7">
      <c r="B28" s="120" t="s">
        <v>69</v>
      </c>
      <c r="C28" s="127">
        <v>10</v>
      </c>
      <c r="D28" s="127">
        <v>10</v>
      </c>
      <c r="E28" s="127">
        <v>10</v>
      </c>
      <c r="F28" s="127">
        <v>10</v>
      </c>
      <c r="G28" s="132">
        <v>10</v>
      </c>
    </row>
    <row r="29" spans="2:7">
      <c r="B29" s="120" t="s">
        <v>70</v>
      </c>
      <c r="C29" s="127">
        <v>10</v>
      </c>
      <c r="D29" s="127">
        <v>10</v>
      </c>
      <c r="E29" s="127">
        <v>10</v>
      </c>
      <c r="F29" s="127">
        <v>10</v>
      </c>
      <c r="G29" s="132">
        <v>10</v>
      </c>
    </row>
    <row r="30" spans="2:7">
      <c r="B30" s="120" t="s">
        <v>71</v>
      </c>
      <c r="C30" s="127">
        <v>2</v>
      </c>
      <c r="D30" s="127">
        <v>2</v>
      </c>
      <c r="E30" s="127">
        <v>2</v>
      </c>
      <c r="F30" s="127">
        <v>2</v>
      </c>
      <c r="G30" s="132">
        <v>2</v>
      </c>
    </row>
    <row r="31" spans="2:7">
      <c r="B31" s="120" t="s">
        <v>72</v>
      </c>
      <c r="C31" s="127">
        <v>2</v>
      </c>
      <c r="D31" s="127">
        <v>2</v>
      </c>
      <c r="E31" s="127">
        <v>2</v>
      </c>
      <c r="F31" s="127">
        <v>2</v>
      </c>
      <c r="G31" s="132">
        <v>2</v>
      </c>
    </row>
    <row r="32" spans="2:7">
      <c r="B32" s="120" t="s">
        <v>109</v>
      </c>
      <c r="C32" s="127">
        <v>5</v>
      </c>
      <c r="D32" s="127">
        <v>5</v>
      </c>
      <c r="E32" s="127">
        <v>5</v>
      </c>
      <c r="F32" s="127">
        <v>5</v>
      </c>
      <c r="G32" s="132">
        <v>5</v>
      </c>
    </row>
    <row r="33" spans="2:10">
      <c r="B33" s="120" t="s">
        <v>73</v>
      </c>
      <c r="C33" s="127">
        <v>10</v>
      </c>
      <c r="D33" s="127">
        <v>10</v>
      </c>
      <c r="E33" s="127">
        <v>10</v>
      </c>
      <c r="F33" s="127">
        <v>10</v>
      </c>
      <c r="G33" s="132">
        <v>10</v>
      </c>
    </row>
    <row r="34" spans="2:10">
      <c r="B34" s="120" t="s">
        <v>75</v>
      </c>
      <c r="C34" s="127">
        <v>5</v>
      </c>
      <c r="D34" s="127">
        <v>5</v>
      </c>
      <c r="E34" s="127">
        <v>5</v>
      </c>
      <c r="F34" s="127">
        <v>5</v>
      </c>
      <c r="G34" s="132">
        <v>5</v>
      </c>
    </row>
    <row r="35" spans="2:10">
      <c r="B35" s="120" t="s">
        <v>76</v>
      </c>
      <c r="C35" s="127">
        <v>2</v>
      </c>
      <c r="D35" s="127">
        <v>2</v>
      </c>
      <c r="E35" s="127">
        <v>2</v>
      </c>
      <c r="F35" s="127">
        <v>2</v>
      </c>
      <c r="G35" s="132">
        <v>2</v>
      </c>
    </row>
    <row r="36" spans="2:10">
      <c r="B36" s="120" t="s">
        <v>77</v>
      </c>
      <c r="C36" s="127">
        <v>5</v>
      </c>
      <c r="D36" s="127">
        <v>5</v>
      </c>
      <c r="E36" s="127">
        <v>5</v>
      </c>
      <c r="F36" s="127">
        <v>5</v>
      </c>
      <c r="G36" s="132">
        <v>5</v>
      </c>
    </row>
    <row r="37" spans="2:10">
      <c r="B37" s="120" t="s">
        <v>78</v>
      </c>
      <c r="C37" s="127">
        <v>2</v>
      </c>
      <c r="D37" s="127">
        <v>2</v>
      </c>
      <c r="E37" s="127">
        <v>2</v>
      </c>
      <c r="F37" s="127">
        <v>2</v>
      </c>
      <c r="G37" s="132">
        <v>2</v>
      </c>
    </row>
    <row r="38" spans="2:10" s="117" customFormat="1" ht="18">
      <c r="B38" s="121" t="s">
        <v>74</v>
      </c>
      <c r="C38" s="127">
        <v>5</v>
      </c>
      <c r="D38" s="127">
        <v>5</v>
      </c>
      <c r="E38" s="127">
        <v>5</v>
      </c>
      <c r="F38" s="127">
        <v>5</v>
      </c>
      <c r="G38" s="132">
        <v>5</v>
      </c>
    </row>
    <row r="39" spans="2:10">
      <c r="B39" s="120" t="s">
        <v>80</v>
      </c>
      <c r="C39" s="139">
        <v>5</v>
      </c>
      <c r="D39" s="139">
        <v>5</v>
      </c>
      <c r="E39" s="139">
        <v>5</v>
      </c>
      <c r="F39" s="139">
        <v>5</v>
      </c>
      <c r="G39" s="140">
        <v>5</v>
      </c>
    </row>
    <row r="40" spans="2:10">
      <c r="B40" s="120" t="s">
        <v>79</v>
      </c>
      <c r="C40" s="139">
        <v>10</v>
      </c>
      <c r="D40" s="139">
        <v>10</v>
      </c>
      <c r="E40" s="139">
        <v>10</v>
      </c>
      <c r="F40" s="139">
        <v>10</v>
      </c>
      <c r="G40" s="140">
        <v>10</v>
      </c>
    </row>
    <row r="41" spans="2:10" s="117" customFormat="1" ht="28.8" thickBot="1">
      <c r="B41" s="120" t="s">
        <v>81</v>
      </c>
      <c r="C41" s="154">
        <v>10</v>
      </c>
      <c r="D41" s="154">
        <v>10</v>
      </c>
      <c r="E41" s="154">
        <v>10</v>
      </c>
      <c r="F41" s="154">
        <v>10</v>
      </c>
      <c r="G41" s="155">
        <v>10</v>
      </c>
    </row>
    <row r="42" spans="2:10" s="117" customFormat="1" ht="48" customHeight="1">
      <c r="B42" s="128" t="s">
        <v>56</v>
      </c>
      <c r="C42" s="135"/>
      <c r="D42" s="136"/>
      <c r="E42" s="136"/>
      <c r="F42" s="136"/>
      <c r="G42" s="137"/>
    </row>
    <row r="43" spans="2:10" ht="16.2" thickBot="1">
      <c r="B43" s="129" t="s">
        <v>110</v>
      </c>
      <c r="C43" s="145">
        <f>SUM(C27:C41)</f>
        <v>93</v>
      </c>
      <c r="D43" s="148">
        <f>SUM(D27:D41)</f>
        <v>93</v>
      </c>
      <c r="E43" s="148">
        <f>SUM(E27:E41)</f>
        <v>93</v>
      </c>
      <c r="F43" s="148">
        <f>SUM(F27:F41)</f>
        <v>93</v>
      </c>
      <c r="G43" s="149">
        <f>SUM(G27:G41)</f>
        <v>93</v>
      </c>
    </row>
    <row r="44" spans="2:10" ht="16.2" thickBot="1"/>
    <row r="45" spans="2:10" ht="16.2" thickBot="1">
      <c r="B45" s="161" t="s">
        <v>83</v>
      </c>
      <c r="C45" s="162"/>
      <c r="D45" s="162"/>
      <c r="E45" s="162"/>
      <c r="F45" s="162"/>
      <c r="G45" s="163"/>
    </row>
    <row r="46" spans="2:10">
      <c r="B46" s="123" t="s">
        <v>50</v>
      </c>
      <c r="C46" s="164" t="s">
        <v>51</v>
      </c>
      <c r="D46" s="165"/>
      <c r="E46" s="165"/>
      <c r="F46" s="165"/>
      <c r="G46" s="166"/>
    </row>
    <row r="47" spans="2:10">
      <c r="B47" s="120" t="s">
        <v>84</v>
      </c>
      <c r="C47" s="139">
        <v>2</v>
      </c>
      <c r="D47" s="139">
        <v>2</v>
      </c>
      <c r="E47" s="139">
        <v>2</v>
      </c>
      <c r="F47" s="139">
        <v>2</v>
      </c>
      <c r="G47" s="140">
        <v>2</v>
      </c>
    </row>
    <row r="48" spans="2:10">
      <c r="B48" s="120" t="s">
        <v>85</v>
      </c>
      <c r="C48" s="139">
        <v>2</v>
      </c>
      <c r="D48" s="139">
        <v>2</v>
      </c>
      <c r="E48" s="139">
        <v>2</v>
      </c>
      <c r="F48" s="139">
        <v>2</v>
      </c>
      <c r="G48" s="140">
        <v>2</v>
      </c>
      <c r="J48" s="122"/>
    </row>
    <row r="49" spans="2:7">
      <c r="B49" s="120" t="s">
        <v>86</v>
      </c>
      <c r="C49" s="139">
        <v>2</v>
      </c>
      <c r="D49" s="139">
        <v>2</v>
      </c>
      <c r="E49" s="139">
        <v>2</v>
      </c>
      <c r="F49" s="139">
        <v>2</v>
      </c>
      <c r="G49" s="140">
        <v>2</v>
      </c>
    </row>
    <row r="50" spans="2:7" s="117" customFormat="1" ht="68.25" customHeight="1" thickBot="1">
      <c r="B50" s="138" t="s">
        <v>87</v>
      </c>
      <c r="C50" s="143">
        <v>2</v>
      </c>
      <c r="D50" s="143">
        <v>2</v>
      </c>
      <c r="E50" s="143">
        <v>2</v>
      </c>
      <c r="F50" s="143">
        <v>2</v>
      </c>
      <c r="G50" s="144">
        <v>2</v>
      </c>
    </row>
    <row r="51" spans="2:7" s="117" customFormat="1" ht="53.4" customHeight="1">
      <c r="B51" s="128" t="s">
        <v>56</v>
      </c>
      <c r="C51" s="135"/>
      <c r="D51" s="136"/>
      <c r="E51" s="136"/>
      <c r="F51" s="136"/>
      <c r="G51" s="137"/>
    </row>
    <row r="52" spans="2:7" s="117" customFormat="1" ht="18.600000000000001" thickBot="1">
      <c r="B52" s="129" t="s">
        <v>88</v>
      </c>
      <c r="C52" s="145">
        <f>SUM(C47:C50)</f>
        <v>8</v>
      </c>
      <c r="D52" s="146">
        <f>SUM(D47:D50)</f>
        <v>8</v>
      </c>
      <c r="E52" s="146">
        <f>SUM(E47:E50)</f>
        <v>8</v>
      </c>
      <c r="F52" s="146">
        <f>SUM(F47:F50)</f>
        <v>8</v>
      </c>
      <c r="G52" s="147">
        <f>SUM(G47:G50)</f>
        <v>8</v>
      </c>
    </row>
    <row r="53" spans="2:7" ht="16.2" thickBot="1"/>
    <row r="54" spans="2:7" ht="16.2" thickBot="1">
      <c r="B54" s="161" t="s">
        <v>89</v>
      </c>
      <c r="C54" s="162"/>
      <c r="D54" s="162"/>
      <c r="E54" s="162"/>
      <c r="F54" s="162"/>
      <c r="G54" s="163"/>
    </row>
    <row r="55" spans="2:7">
      <c r="B55" s="119" t="s">
        <v>50</v>
      </c>
      <c r="C55" s="167" t="s">
        <v>51</v>
      </c>
      <c r="D55" s="168"/>
      <c r="E55" s="168"/>
      <c r="F55" s="168"/>
      <c r="G55" s="169"/>
    </row>
    <row r="56" spans="2:7">
      <c r="B56" s="120" t="s">
        <v>90</v>
      </c>
      <c r="C56" s="139">
        <v>10</v>
      </c>
      <c r="D56" s="139">
        <v>10</v>
      </c>
      <c r="E56" s="139">
        <v>10</v>
      </c>
      <c r="F56" s="139">
        <v>10</v>
      </c>
      <c r="G56" s="140">
        <v>10</v>
      </c>
    </row>
    <row r="57" spans="2:7" ht="16.2" thickBot="1">
      <c r="B57" s="138" t="s">
        <v>91</v>
      </c>
      <c r="C57" s="133">
        <v>5</v>
      </c>
      <c r="D57" s="133">
        <v>5</v>
      </c>
      <c r="E57" s="133">
        <v>5</v>
      </c>
      <c r="F57" s="133">
        <v>5</v>
      </c>
      <c r="G57" s="134">
        <v>5</v>
      </c>
    </row>
    <row r="58" spans="2:7" ht="41.4" customHeight="1">
      <c r="B58" s="128" t="s">
        <v>56</v>
      </c>
      <c r="C58" s="135"/>
      <c r="D58" s="136"/>
      <c r="E58" s="136"/>
      <c r="F58" s="136"/>
      <c r="G58" s="137"/>
    </row>
    <row r="59" spans="2:7" s="117" customFormat="1" ht="58.5" customHeight="1" thickBot="1">
      <c r="B59" s="129" t="s">
        <v>92</v>
      </c>
      <c r="C59" s="145">
        <f>SUM(C56:C57)</f>
        <v>15</v>
      </c>
      <c r="D59" s="146">
        <f>SUM(D56:D57)</f>
        <v>15</v>
      </c>
      <c r="E59" s="146">
        <f>SUM(E56:E57)</f>
        <v>15</v>
      </c>
      <c r="F59" s="146">
        <f>SUM(F56:F57)</f>
        <v>15</v>
      </c>
      <c r="G59" s="147">
        <f>SUM(G56:G57)</f>
        <v>15</v>
      </c>
    </row>
    <row r="61" spans="2:7">
      <c r="C61" s="124"/>
      <c r="D61" s="124"/>
      <c r="E61" s="124"/>
      <c r="F61" s="124"/>
      <c r="G61" s="124"/>
    </row>
    <row r="67" spans="2:7" s="117" customFormat="1" ht="73.5" customHeight="1">
      <c r="B67" s="104"/>
      <c r="C67" s="107"/>
      <c r="D67" s="107"/>
      <c r="E67" s="107"/>
      <c r="F67" s="107"/>
      <c r="G67" s="107"/>
    </row>
    <row r="68" spans="2:7" s="117" customFormat="1" ht="18">
      <c r="B68" s="104"/>
      <c r="C68" s="107"/>
      <c r="D68" s="107"/>
      <c r="E68" s="107"/>
      <c r="F68" s="107"/>
      <c r="G68" s="107"/>
    </row>
    <row r="69" spans="2:7" s="117" customFormat="1" ht="18">
      <c r="B69" s="104"/>
      <c r="C69" s="107"/>
      <c r="D69" s="107"/>
      <c r="E69" s="107"/>
      <c r="F69" s="107"/>
      <c r="G69" s="107"/>
    </row>
  </sheetData>
  <mergeCells count="14">
    <mergeCell ref="B13:G13"/>
    <mergeCell ref="C3:D3"/>
    <mergeCell ref="E3:G3"/>
    <mergeCell ref="B6:G6"/>
    <mergeCell ref="C7:G7"/>
    <mergeCell ref="C10:G10"/>
    <mergeCell ref="B54:G54"/>
    <mergeCell ref="C55:G55"/>
    <mergeCell ref="C14:G14"/>
    <mergeCell ref="C22:G22"/>
    <mergeCell ref="B25:G25"/>
    <mergeCell ref="C26:G26"/>
    <mergeCell ref="B45:G45"/>
    <mergeCell ref="C46:G46"/>
  </mergeCells>
  <dataValidations count="6">
    <dataValidation type="list" showInputMessage="1" showErrorMessage="1" sqref="C30:G31 C47:G50 C35:G35 C37:G38" xr:uid="{D3682DD6-D63F-4142-BDBD-DB0C431F6083}">
      <formula1>"0,1,2"</formula1>
    </dataValidation>
    <dataValidation type="list" allowBlank="1" showInputMessage="1" showErrorMessage="1" sqref="C27:G29 C8:G8 C33:G33 C41:G41" xr:uid="{335B155B-0FC3-45EA-B79E-0CC0D5318B87}">
      <formula1>"0,1,2,3,4,5,6,7,8,9,10"</formula1>
    </dataValidation>
    <dataValidation type="list" allowBlank="1" showInputMessage="1" showErrorMessage="1" sqref="C57:G57 C15:G21" xr:uid="{71B76611-A6C1-4268-90D7-89B2ECBEEA47}">
      <formula1>"0,1,2,3,4,5"</formula1>
    </dataValidation>
    <dataValidation type="list" showInputMessage="1" showErrorMessage="1" sqref="C56:G56 C40:G40" xr:uid="{0ED564E7-2145-427B-938E-36760B3EAB81}">
      <formula1>"0,1,2,3,4,5,6,7,8,9,10"</formula1>
    </dataValidation>
    <dataValidation type="list" showInputMessage="1" showErrorMessage="1" sqref="C9:G9 C34:G34 C32:G32 C36:G36 C38:G40" xr:uid="{F0EDFD39-2EFB-4A44-BB2A-25FEFCB16B68}">
      <formula1>"0,1,2,3,4,5"</formula1>
    </dataValidation>
    <dataValidation allowBlank="1" showInputMessage="1" showErrorMessage="1" sqref="L8:L12" xr:uid="{BC86C49A-562E-4AA5-A29A-40810B23DE44}"/>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F654983-4C4B-457A-97DE-4E98E36AF7E4}">
          <x14:formula1>
            <xm:f>'DATA &amp; RECAP'!$C$6:$C$32</xm:f>
          </x14:formula1>
          <xm:sqref>K8:K12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F6173-9CD9-436F-BEDE-709D2A4D692E}">
  <sheetPr codeName="Feuil15">
    <tabColor theme="4" tint="0.59999389629810485"/>
  </sheetPr>
  <dimension ref="A1:M59"/>
  <sheetViews>
    <sheetView workbookViewId="0">
      <selection activeCell="B22" sqref="B22"/>
    </sheetView>
  </sheetViews>
  <sheetFormatPr baseColWidth="10" defaultColWidth="11" defaultRowHeight="15.6"/>
  <cols>
    <col min="1" max="1" width="5.3984375" style="104" customWidth="1"/>
    <col min="2" max="2" width="119.3984375" style="104" customWidth="1"/>
    <col min="3" max="7" width="11.3984375" style="107" customWidth="1"/>
    <col min="8" max="9" width="2.09765625" style="104" customWidth="1"/>
    <col min="10" max="10" width="10.3984375" style="104" customWidth="1"/>
    <col min="11" max="11" width="11.59765625" style="104" customWidth="1"/>
    <col min="12" max="12" width="19.69921875" style="104" customWidth="1"/>
    <col min="13" max="13" width="26.69921875" style="104" customWidth="1"/>
    <col min="14" max="16384" width="11" style="104"/>
  </cols>
  <sheetData>
    <row r="1" spans="1:13" ht="16.2" thickBot="1">
      <c r="A1" s="126"/>
      <c r="B1" s="156" t="s">
        <v>17</v>
      </c>
    </row>
    <row r="2" spans="1:13" ht="16.2" thickBot="1">
      <c r="A2" s="125"/>
      <c r="B2" s="156" t="s">
        <v>18</v>
      </c>
    </row>
    <row r="3" spans="1:13" ht="18.600000000000001" thickBot="1">
      <c r="B3" s="103"/>
      <c r="C3" s="173" t="s">
        <v>42</v>
      </c>
      <c r="D3" s="174"/>
      <c r="E3" s="175" t="s">
        <v>43</v>
      </c>
      <c r="F3" s="175"/>
      <c r="G3" s="176"/>
      <c r="J3" s="126"/>
      <c r="K3" s="105" t="s">
        <v>17</v>
      </c>
    </row>
    <row r="4" spans="1:13" ht="26.4" thickBot="1">
      <c r="B4" s="86" t="s">
        <v>8</v>
      </c>
      <c r="J4" s="125"/>
      <c r="K4" s="108" t="s">
        <v>18</v>
      </c>
    </row>
    <row r="5" spans="1:13" ht="31.8" thickBot="1">
      <c r="B5" s="109"/>
      <c r="C5" s="110" t="s">
        <v>44</v>
      </c>
      <c r="D5" s="111" t="s">
        <v>45</v>
      </c>
      <c r="E5" s="111" t="s">
        <v>46</v>
      </c>
      <c r="F5" s="111" t="s">
        <v>47</v>
      </c>
      <c r="G5" s="112" t="s">
        <v>48</v>
      </c>
    </row>
    <row r="6" spans="1:13" ht="18.75" customHeight="1" thickBot="1">
      <c r="B6" s="161" t="s">
        <v>93</v>
      </c>
      <c r="C6" s="162"/>
      <c r="D6" s="162"/>
      <c r="E6" s="162"/>
      <c r="F6" s="162"/>
      <c r="G6" s="163"/>
    </row>
    <row r="7" spans="1:13" ht="18.75" customHeight="1">
      <c r="B7" s="119" t="s">
        <v>50</v>
      </c>
      <c r="C7" s="167" t="s">
        <v>51</v>
      </c>
      <c r="D7" s="168"/>
      <c r="E7" s="168"/>
      <c r="F7" s="168"/>
      <c r="G7" s="169"/>
      <c r="J7" s="106"/>
      <c r="K7" s="153" t="s">
        <v>52</v>
      </c>
      <c r="L7" s="113" t="s">
        <v>29</v>
      </c>
      <c r="M7" s="114" t="s">
        <v>94</v>
      </c>
    </row>
    <row r="8" spans="1:13">
      <c r="B8" s="120" t="s">
        <v>95</v>
      </c>
      <c r="C8" s="127">
        <v>5</v>
      </c>
      <c r="D8" s="127">
        <v>5</v>
      </c>
      <c r="E8" s="127">
        <v>5</v>
      </c>
      <c r="F8" s="127">
        <v>5</v>
      </c>
      <c r="G8" s="132">
        <v>5</v>
      </c>
      <c r="J8" s="152" t="s">
        <v>55</v>
      </c>
      <c r="K8" s="115" t="s">
        <v>34</v>
      </c>
      <c r="L8" s="115" t="str">
        <f>_xlfn.XLOOKUP(K8,'DATA &amp; RECAP'!C6:C32,'DATA &amp; RECAP'!D6:D32,"Sélectionnez un nom")</f>
        <v>Christophe</v>
      </c>
      <c r="M8" s="115">
        <f>IFERROR(SUM(C20)*20/'VIDEO M1 &amp; M2'!$B$17,"")</f>
        <v>20</v>
      </c>
    </row>
    <row r="9" spans="1:13">
      <c r="B9" s="120" t="s">
        <v>96</v>
      </c>
      <c r="C9" s="127">
        <v>10</v>
      </c>
      <c r="D9" s="127">
        <v>10</v>
      </c>
      <c r="E9" s="127">
        <v>10</v>
      </c>
      <c r="F9" s="127">
        <v>10</v>
      </c>
      <c r="G9" s="132">
        <v>10</v>
      </c>
      <c r="J9" s="152" t="s">
        <v>45</v>
      </c>
      <c r="K9" s="115" t="s">
        <v>38</v>
      </c>
      <c r="L9" s="115" t="s">
        <v>39</v>
      </c>
      <c r="M9" s="115">
        <f>IFERROR(SUM(D20)*20/'VIDEO M1 &amp; M2'!$B$17,"")</f>
        <v>20</v>
      </c>
    </row>
    <row r="10" spans="1:13">
      <c r="B10" s="138" t="s">
        <v>97</v>
      </c>
      <c r="C10" s="127">
        <v>10</v>
      </c>
      <c r="D10" s="127">
        <v>10</v>
      </c>
      <c r="E10" s="127">
        <v>10</v>
      </c>
      <c r="F10" s="127">
        <v>10</v>
      </c>
      <c r="G10" s="132">
        <v>10</v>
      </c>
      <c r="J10" s="152" t="s">
        <v>46</v>
      </c>
      <c r="K10" s="115" t="s">
        <v>36</v>
      </c>
      <c r="L10" s="115" t="s">
        <v>37</v>
      </c>
      <c r="M10" s="115">
        <f>IFERROR(SUM(E20)*20/'VIDEO M1 &amp; M2'!$B$17,"")</f>
        <v>20</v>
      </c>
    </row>
    <row r="11" spans="1:13">
      <c r="B11" s="120" t="s">
        <v>98</v>
      </c>
      <c r="C11" s="127">
        <v>5</v>
      </c>
      <c r="D11" s="127">
        <v>5</v>
      </c>
      <c r="E11" s="127">
        <v>5</v>
      </c>
      <c r="F11" s="127">
        <v>5</v>
      </c>
      <c r="G11" s="132">
        <v>5</v>
      </c>
      <c r="J11" s="152" t="s">
        <v>47</v>
      </c>
      <c r="K11" s="115" t="s">
        <v>40</v>
      </c>
      <c r="L11" s="115" t="s">
        <v>41</v>
      </c>
      <c r="M11" s="115">
        <f>IFERROR(SUM(F20)*20/'VIDEO M1 &amp; M2'!$B$17,"")</f>
        <v>20</v>
      </c>
    </row>
    <row r="12" spans="1:13">
      <c r="B12" s="120" t="s">
        <v>99</v>
      </c>
      <c r="C12" s="127">
        <v>2</v>
      </c>
      <c r="D12" s="127">
        <v>2</v>
      </c>
      <c r="E12" s="127">
        <v>2</v>
      </c>
      <c r="F12" s="127">
        <v>2</v>
      </c>
      <c r="G12" s="132">
        <v>2</v>
      </c>
      <c r="J12" s="152" t="s">
        <v>48</v>
      </c>
      <c r="K12" s="115" t="s">
        <v>40</v>
      </c>
      <c r="L12" s="115" t="s">
        <v>41</v>
      </c>
      <c r="M12" s="115">
        <f>IFERROR(SUM(G20)*20/'VIDEO M1 &amp; M2'!$B$17,"")</f>
        <v>20</v>
      </c>
    </row>
    <row r="13" spans="1:13" ht="15" customHeight="1">
      <c r="B13" s="120" t="s">
        <v>100</v>
      </c>
      <c r="C13" s="127">
        <v>10</v>
      </c>
      <c r="D13" s="127">
        <v>10</v>
      </c>
      <c r="E13" s="127">
        <v>10</v>
      </c>
      <c r="F13" s="127">
        <v>10</v>
      </c>
      <c r="G13" s="132">
        <v>10</v>
      </c>
    </row>
    <row r="14" spans="1:13" s="117" customFormat="1" ht="19.2" customHeight="1">
      <c r="B14" s="120" t="s">
        <v>101</v>
      </c>
      <c r="C14" s="127">
        <v>2</v>
      </c>
      <c r="D14" s="127">
        <v>2</v>
      </c>
      <c r="E14" s="127">
        <v>2</v>
      </c>
      <c r="F14" s="127">
        <v>2</v>
      </c>
      <c r="G14" s="132">
        <v>2</v>
      </c>
    </row>
    <row r="15" spans="1:13">
      <c r="B15" s="120" t="s">
        <v>102</v>
      </c>
      <c r="C15" s="139">
        <v>5</v>
      </c>
      <c r="D15" s="139">
        <v>5</v>
      </c>
      <c r="E15" s="139">
        <v>5</v>
      </c>
      <c r="F15" s="139">
        <v>5</v>
      </c>
      <c r="G15" s="140">
        <v>5</v>
      </c>
      <c r="H15" s="104" t="s">
        <v>103</v>
      </c>
    </row>
    <row r="16" spans="1:13">
      <c r="B16" s="120" t="s">
        <v>104</v>
      </c>
      <c r="C16" s="139">
        <v>5</v>
      </c>
      <c r="D16" s="139">
        <v>5</v>
      </c>
      <c r="E16" s="139">
        <v>5</v>
      </c>
      <c r="F16" s="139">
        <v>5</v>
      </c>
      <c r="G16" s="140">
        <v>5</v>
      </c>
    </row>
    <row r="17" spans="2:7">
      <c r="B17" s="120" t="s">
        <v>105</v>
      </c>
      <c r="C17" s="139">
        <v>5</v>
      </c>
      <c r="D17" s="139">
        <v>5</v>
      </c>
      <c r="E17" s="139">
        <v>5</v>
      </c>
      <c r="F17" s="139">
        <v>5</v>
      </c>
      <c r="G17" s="140">
        <v>5</v>
      </c>
    </row>
    <row r="18" spans="2:7" ht="18" customHeight="1" thickBot="1">
      <c r="B18" s="120" t="s">
        <v>106</v>
      </c>
      <c r="C18" s="139">
        <v>5</v>
      </c>
      <c r="D18" s="139">
        <v>5</v>
      </c>
      <c r="E18" s="139">
        <v>5</v>
      </c>
      <c r="F18" s="139">
        <v>5</v>
      </c>
      <c r="G18" s="140">
        <v>5</v>
      </c>
    </row>
    <row r="19" spans="2:7" ht="95.4" customHeight="1">
      <c r="B19" s="128" t="s">
        <v>56</v>
      </c>
      <c r="C19" s="135"/>
      <c r="D19" s="136"/>
      <c r="E19" s="136"/>
      <c r="F19" s="136"/>
      <c r="G19" s="137"/>
    </row>
    <row r="20" spans="2:7" ht="16.2" thickBot="1">
      <c r="B20" s="129" t="s">
        <v>107</v>
      </c>
      <c r="C20" s="145">
        <f>SUM(C8:C18)</f>
        <v>64</v>
      </c>
      <c r="D20" s="148">
        <f>SUM(D8:D18)</f>
        <v>64</v>
      </c>
      <c r="E20" s="148">
        <f>SUM(E8:E18)</f>
        <v>64</v>
      </c>
      <c r="F20" s="148">
        <f>SUM(F8:F18)</f>
        <v>64</v>
      </c>
      <c r="G20" s="149">
        <f>SUM(G8:G18)</f>
        <v>64</v>
      </c>
    </row>
    <row r="23" spans="2:7">
      <c r="C23" s="124"/>
      <c r="D23" s="124"/>
      <c r="E23" s="124"/>
      <c r="F23" s="124"/>
      <c r="G23" s="124"/>
    </row>
    <row r="30" spans="2:7" s="117" customFormat="1" ht="36" customHeight="1">
      <c r="B30" s="104"/>
      <c r="C30" s="107"/>
      <c r="D30" s="107"/>
      <c r="E30" s="107"/>
      <c r="F30" s="107"/>
      <c r="G30" s="107"/>
    </row>
    <row r="31" spans="2:7" s="117" customFormat="1" ht="18">
      <c r="B31" s="104"/>
      <c r="C31" s="107"/>
      <c r="D31" s="107"/>
      <c r="E31" s="107"/>
      <c r="F31" s="107"/>
      <c r="G31" s="107"/>
    </row>
    <row r="32" spans="2:7" s="117" customFormat="1" ht="18">
      <c r="B32" s="104"/>
      <c r="C32" s="107"/>
      <c r="D32" s="107"/>
      <c r="E32" s="107"/>
      <c r="F32" s="107"/>
      <c r="G32" s="107"/>
    </row>
    <row r="38" spans="2:10">
      <c r="J38" s="122"/>
    </row>
    <row r="40" spans="2:10" s="117" customFormat="1" ht="68.25" customHeight="1">
      <c r="B40" s="104"/>
      <c r="C40" s="107"/>
      <c r="D40" s="107"/>
      <c r="E40" s="107"/>
      <c r="F40" s="107"/>
      <c r="G40" s="107"/>
    </row>
    <row r="41" spans="2:10" s="117" customFormat="1" ht="18">
      <c r="B41" s="104"/>
      <c r="C41" s="107"/>
      <c r="D41" s="107"/>
      <c r="E41" s="107"/>
      <c r="F41" s="107"/>
      <c r="G41" s="107"/>
    </row>
    <row r="42" spans="2:10" s="117" customFormat="1" ht="18">
      <c r="B42" s="104"/>
      <c r="C42" s="107"/>
      <c r="D42" s="107"/>
      <c r="E42" s="107"/>
      <c r="F42" s="107"/>
      <c r="G42" s="107"/>
    </row>
    <row r="49" spans="2:7" s="117" customFormat="1" ht="58.5" customHeight="1">
      <c r="B49" s="104"/>
      <c r="C49" s="107"/>
      <c r="D49" s="107"/>
      <c r="E49" s="107"/>
      <c r="F49" s="107"/>
      <c r="G49" s="107"/>
    </row>
    <row r="50" spans="2:7" ht="15.6" customHeight="1"/>
    <row r="57" spans="2:7" s="117" customFormat="1" ht="73.5" customHeight="1">
      <c r="B57" s="104"/>
      <c r="C57" s="107"/>
      <c r="D57" s="107"/>
      <c r="E57" s="107"/>
      <c r="F57" s="107"/>
      <c r="G57" s="107"/>
    </row>
    <row r="58" spans="2:7" s="117" customFormat="1" ht="18">
      <c r="B58" s="104"/>
      <c r="C58" s="107"/>
      <c r="D58" s="107"/>
      <c r="E58" s="107"/>
      <c r="F58" s="107"/>
      <c r="G58" s="107"/>
    </row>
    <row r="59" spans="2:7" s="117" customFormat="1" ht="18">
      <c r="B59" s="104"/>
      <c r="C59" s="107"/>
      <c r="D59" s="107"/>
      <c r="E59" s="107"/>
      <c r="F59" s="107"/>
      <c r="G59" s="107"/>
    </row>
  </sheetData>
  <mergeCells count="4">
    <mergeCell ref="C3:D3"/>
    <mergeCell ref="E3:G3"/>
    <mergeCell ref="B6:G6"/>
    <mergeCell ref="C7:G7"/>
  </mergeCells>
  <dataValidations count="5">
    <dataValidation type="list" showInputMessage="1" showErrorMessage="1" sqref="C15:G18 C11:G11" xr:uid="{B5AFB0ED-0C7B-4D20-8F21-917F4E510F07}">
      <formula1>"0,1,2,3,4,5"</formula1>
    </dataValidation>
    <dataValidation type="list" allowBlank="1" showInputMessage="1" showErrorMessage="1" sqref="C8:G8" xr:uid="{9DBBF4E3-1783-4A06-B761-957034A29B4C}">
      <formula1>"0,1,2,3,4,5"</formula1>
    </dataValidation>
    <dataValidation type="list" allowBlank="1" showInputMessage="1" showErrorMessage="1" sqref="C9:G10 C13:G13" xr:uid="{76C0AD4A-6DC2-43CD-87EA-18F4BAB9F3D4}">
      <formula1>"0,1,2,3,4,5,6,7,8,9,10"</formula1>
    </dataValidation>
    <dataValidation type="list" showInputMessage="1" showErrorMessage="1" sqref="C14:G18 C12:G12" xr:uid="{1042AE4E-F58B-45AD-A0B5-53C2E28670F5}">
      <formula1>"0,1,2"</formula1>
    </dataValidation>
    <dataValidation allowBlank="1" showInputMessage="1" showErrorMessage="1" sqref="L8:L12" xr:uid="{E10EF28A-59A9-4180-83E1-A833F5220420}"/>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1D88C32-4C66-4C0C-8FF9-8293D44E1377}">
          <x14:formula1>
            <xm:f>'DATA &amp; RECAP'!$C$6:$C$32</xm:f>
          </x14:formula1>
          <xm:sqref>K8:K12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63562-B193-49FB-AC23-FB8E07620214}">
  <sheetPr codeName="Feuil12">
    <tabColor theme="8" tint="0.79998168889431442"/>
  </sheetPr>
  <dimension ref="A1:I48"/>
  <sheetViews>
    <sheetView tabSelected="1" topLeftCell="A28" zoomScaleNormal="100" workbookViewId="0">
      <selection activeCell="E5" sqref="E5"/>
    </sheetView>
  </sheetViews>
  <sheetFormatPr baseColWidth="10" defaultColWidth="11" defaultRowHeight="15.6"/>
  <cols>
    <col min="1" max="1" width="31.5" style="29" customWidth="1"/>
    <col min="2" max="2" width="87.3984375" style="29" bestFit="1" customWidth="1"/>
    <col min="3" max="3" width="7.69921875" style="62" customWidth="1"/>
    <col min="4" max="4" width="10.19921875" style="62" customWidth="1"/>
    <col min="5" max="5" width="11.5" style="62" customWidth="1"/>
    <col min="6" max="9" width="7.69921875" style="62" customWidth="1"/>
  </cols>
  <sheetData>
    <row r="1" spans="1:9">
      <c r="B1" s="57" t="s">
        <v>111</v>
      </c>
    </row>
    <row r="2" spans="1:9">
      <c r="B2" s="58" t="s">
        <v>112</v>
      </c>
    </row>
    <row r="3" spans="1:9" ht="46.95" customHeight="1">
      <c r="C3" s="61" t="s">
        <v>113</v>
      </c>
      <c r="D3" s="61" t="s">
        <v>114</v>
      </c>
      <c r="E3" s="61" t="s">
        <v>115</v>
      </c>
      <c r="F3" s="61" t="s">
        <v>116</v>
      </c>
      <c r="G3" s="61" t="s">
        <v>117</v>
      </c>
      <c r="H3" s="61" t="s">
        <v>118</v>
      </c>
      <c r="I3" s="61" t="s">
        <v>119</v>
      </c>
    </row>
    <row r="4" spans="1:9">
      <c r="A4" s="59" t="s">
        <v>49</v>
      </c>
      <c r="B4" s="59"/>
      <c r="C4" s="61"/>
      <c r="D4" s="61"/>
      <c r="E4" s="61"/>
      <c r="F4" s="61"/>
      <c r="G4" s="61"/>
      <c r="H4" s="61"/>
      <c r="I4" s="61"/>
    </row>
    <row r="5" spans="1:9">
      <c r="B5" s="46" t="s">
        <v>54</v>
      </c>
      <c r="C5" s="85">
        <v>5</v>
      </c>
      <c r="D5" s="77" t="s">
        <v>120</v>
      </c>
      <c r="E5" s="77" t="s">
        <v>121</v>
      </c>
      <c r="F5" s="77" t="s">
        <v>121</v>
      </c>
      <c r="G5" s="77" t="s">
        <v>121</v>
      </c>
      <c r="H5" s="77" t="s">
        <v>121</v>
      </c>
      <c r="I5" s="77" t="s">
        <v>122</v>
      </c>
    </row>
    <row r="6" spans="1:9">
      <c r="B6" s="82" t="s">
        <v>123</v>
      </c>
      <c r="C6" s="85">
        <v>5</v>
      </c>
      <c r="D6" s="77" t="s">
        <v>124</v>
      </c>
      <c r="E6" s="63"/>
      <c r="F6" s="63"/>
      <c r="G6" s="63"/>
      <c r="H6" s="63"/>
      <c r="I6" s="77" t="s">
        <v>125</v>
      </c>
    </row>
    <row r="7" spans="1:9">
      <c r="A7" s="60" t="s">
        <v>58</v>
      </c>
      <c r="B7" s="59"/>
      <c r="C7" s="63"/>
      <c r="D7" s="63"/>
      <c r="E7" s="63"/>
      <c r="F7" s="63"/>
      <c r="G7" s="63"/>
      <c r="H7" s="63"/>
      <c r="I7" s="63"/>
    </row>
    <row r="8" spans="1:9">
      <c r="A8" s="54"/>
      <c r="B8" s="47" t="s">
        <v>126</v>
      </c>
      <c r="C8" s="150">
        <v>5</v>
      </c>
      <c r="D8" s="77" t="s">
        <v>120</v>
      </c>
      <c r="E8" s="77" t="s">
        <v>121</v>
      </c>
      <c r="F8" s="77" t="s">
        <v>121</v>
      </c>
      <c r="G8" s="77" t="s">
        <v>127</v>
      </c>
      <c r="H8" s="77" t="s">
        <v>121</v>
      </c>
      <c r="I8" s="77" t="s">
        <v>121</v>
      </c>
    </row>
    <row r="9" spans="1:9">
      <c r="A9" s="54"/>
      <c r="B9" s="47" t="s">
        <v>128</v>
      </c>
      <c r="C9" s="150">
        <v>5</v>
      </c>
      <c r="D9" s="77" t="s">
        <v>120</v>
      </c>
      <c r="E9" s="77" t="s">
        <v>121</v>
      </c>
      <c r="F9" s="77" t="s">
        <v>121</v>
      </c>
      <c r="G9" s="77" t="s">
        <v>127</v>
      </c>
      <c r="H9" s="77" t="s">
        <v>121</v>
      </c>
      <c r="I9" s="77" t="s">
        <v>121</v>
      </c>
    </row>
    <row r="10" spans="1:9">
      <c r="A10" s="54"/>
      <c r="B10" s="47" t="s">
        <v>129</v>
      </c>
      <c r="C10" s="150">
        <v>5</v>
      </c>
      <c r="D10" s="77" t="s">
        <v>120</v>
      </c>
      <c r="E10" s="77" t="s">
        <v>121</v>
      </c>
      <c r="F10" s="77" t="s">
        <v>121</v>
      </c>
      <c r="G10" s="77" t="s">
        <v>127</v>
      </c>
      <c r="H10" s="77" t="s">
        <v>121</v>
      </c>
      <c r="I10" s="77" t="s">
        <v>121</v>
      </c>
    </row>
    <row r="11" spans="1:9">
      <c r="A11" s="54"/>
      <c r="B11" s="47" t="s">
        <v>130</v>
      </c>
      <c r="C11" s="150">
        <v>5</v>
      </c>
      <c r="D11" s="77" t="s">
        <v>120</v>
      </c>
      <c r="E11" s="77" t="s">
        <v>121</v>
      </c>
      <c r="F11" s="77" t="s">
        <v>121</v>
      </c>
      <c r="G11" s="77" t="s">
        <v>127</v>
      </c>
      <c r="H11" s="77" t="s">
        <v>121</v>
      </c>
      <c r="I11" s="77" t="s">
        <v>121</v>
      </c>
    </row>
    <row r="12" spans="1:9">
      <c r="A12" s="54"/>
      <c r="B12" s="47" t="s">
        <v>131</v>
      </c>
      <c r="C12" s="150">
        <v>5</v>
      </c>
      <c r="D12" s="77" t="s">
        <v>132</v>
      </c>
      <c r="E12" s="77" t="s">
        <v>121</v>
      </c>
      <c r="F12" s="77" t="s">
        <v>121</v>
      </c>
      <c r="G12" s="77" t="s">
        <v>127</v>
      </c>
      <c r="H12" s="77" t="s">
        <v>121</v>
      </c>
      <c r="I12" s="77" t="s">
        <v>121</v>
      </c>
    </row>
    <row r="13" spans="1:9">
      <c r="A13" s="54"/>
      <c r="B13" s="47" t="s">
        <v>133</v>
      </c>
      <c r="C13" s="150">
        <v>5</v>
      </c>
      <c r="D13" s="77" t="s">
        <v>120</v>
      </c>
      <c r="E13" s="77" t="s">
        <v>121</v>
      </c>
      <c r="F13" s="77" t="s">
        <v>121</v>
      </c>
      <c r="G13" s="77" t="s">
        <v>127</v>
      </c>
      <c r="H13" s="77" t="s">
        <v>121</v>
      </c>
      <c r="I13" s="77" t="s">
        <v>121</v>
      </c>
    </row>
    <row r="14" spans="1:9">
      <c r="A14" s="54"/>
      <c r="B14" s="47" t="s">
        <v>134</v>
      </c>
      <c r="C14" s="150">
        <v>5</v>
      </c>
      <c r="D14" s="77" t="s">
        <v>120</v>
      </c>
      <c r="E14" s="77" t="s">
        <v>121</v>
      </c>
      <c r="F14" s="77" t="s">
        <v>121</v>
      </c>
      <c r="G14" s="77" t="s">
        <v>127</v>
      </c>
      <c r="H14" s="77" t="s">
        <v>121</v>
      </c>
      <c r="I14" s="77" t="s">
        <v>121</v>
      </c>
    </row>
    <row r="15" spans="1:9">
      <c r="A15" s="60" t="s">
        <v>67</v>
      </c>
      <c r="B15" s="59"/>
      <c r="C15" s="63"/>
      <c r="D15" s="63"/>
      <c r="E15" s="63"/>
      <c r="F15" s="63"/>
      <c r="G15" s="63"/>
      <c r="H15" s="63"/>
      <c r="I15" s="63"/>
    </row>
    <row r="16" spans="1:9" ht="31.2">
      <c r="A16" s="54"/>
      <c r="B16" s="81" t="s">
        <v>135</v>
      </c>
      <c r="C16" s="150">
        <v>10</v>
      </c>
      <c r="D16" s="77" t="s">
        <v>136</v>
      </c>
      <c r="E16" s="77" t="s">
        <v>127</v>
      </c>
      <c r="F16" s="77" t="s">
        <v>137</v>
      </c>
      <c r="G16" s="77" t="s">
        <v>122</v>
      </c>
      <c r="H16" s="77" t="s">
        <v>127</v>
      </c>
      <c r="I16" s="77" t="s">
        <v>138</v>
      </c>
    </row>
    <row r="17" spans="1:9" ht="15.6" customHeight="1">
      <c r="A17" s="54"/>
      <c r="B17" s="47" t="s">
        <v>69</v>
      </c>
      <c r="C17" s="150">
        <v>10</v>
      </c>
      <c r="D17" s="77" t="s">
        <v>139</v>
      </c>
      <c r="E17" s="77" t="s">
        <v>127</v>
      </c>
      <c r="F17" s="77" t="s">
        <v>137</v>
      </c>
      <c r="G17" s="77" t="s">
        <v>122</v>
      </c>
      <c r="H17" s="77" t="s">
        <v>127</v>
      </c>
      <c r="I17" s="77" t="s">
        <v>127</v>
      </c>
    </row>
    <row r="18" spans="1:9" ht="15.6" customHeight="1">
      <c r="A18" s="54"/>
      <c r="B18" s="47" t="s">
        <v>70</v>
      </c>
      <c r="C18" s="150">
        <v>10</v>
      </c>
      <c r="D18" s="77" t="s">
        <v>120</v>
      </c>
      <c r="E18" s="77" t="s">
        <v>127</v>
      </c>
      <c r="F18" s="77" t="s">
        <v>137</v>
      </c>
      <c r="G18" s="77" t="s">
        <v>122</v>
      </c>
      <c r="H18" s="77" t="s">
        <v>121</v>
      </c>
      <c r="I18" s="77" t="s">
        <v>127</v>
      </c>
    </row>
    <row r="19" spans="1:9" ht="15.6" customHeight="1">
      <c r="A19" s="54"/>
      <c r="B19" s="47" t="s">
        <v>71</v>
      </c>
      <c r="C19" s="150">
        <v>2</v>
      </c>
      <c r="D19" s="77" t="s">
        <v>120</v>
      </c>
      <c r="E19" s="77" t="s">
        <v>125</v>
      </c>
      <c r="F19" s="77" t="s">
        <v>125</v>
      </c>
      <c r="G19" s="77" t="s">
        <v>125</v>
      </c>
      <c r="H19" s="77" t="s">
        <v>125</v>
      </c>
      <c r="I19" s="77" t="s">
        <v>125</v>
      </c>
    </row>
    <row r="20" spans="1:9" ht="15.6" customHeight="1">
      <c r="A20" s="54"/>
      <c r="B20" s="47" t="s">
        <v>72</v>
      </c>
      <c r="C20" s="150">
        <v>2</v>
      </c>
      <c r="D20" s="77" t="s">
        <v>120</v>
      </c>
      <c r="E20" s="77" t="s">
        <v>125</v>
      </c>
      <c r="F20" s="77" t="s">
        <v>125</v>
      </c>
      <c r="G20" s="77" t="s">
        <v>125</v>
      </c>
      <c r="H20" s="77" t="s">
        <v>125</v>
      </c>
      <c r="I20" s="77" t="s">
        <v>125</v>
      </c>
    </row>
    <row r="21" spans="1:9" ht="26.4">
      <c r="A21" s="54"/>
      <c r="B21" s="81" t="s">
        <v>73</v>
      </c>
      <c r="C21" s="150">
        <v>5</v>
      </c>
      <c r="D21" s="77" t="s">
        <v>140</v>
      </c>
      <c r="E21" s="77" t="s">
        <v>122</v>
      </c>
      <c r="F21" s="77" t="s">
        <v>122</v>
      </c>
      <c r="G21" s="77" t="s">
        <v>137</v>
      </c>
      <c r="H21" s="77" t="s">
        <v>122</v>
      </c>
      <c r="I21" s="77" t="s">
        <v>138</v>
      </c>
    </row>
    <row r="22" spans="1:9">
      <c r="A22" s="54"/>
      <c r="B22" s="48" t="s">
        <v>141</v>
      </c>
      <c r="C22" s="150">
        <v>10</v>
      </c>
      <c r="D22" s="76">
        <v>2</v>
      </c>
      <c r="E22" s="76" t="s">
        <v>121</v>
      </c>
      <c r="F22" s="76" t="s">
        <v>121</v>
      </c>
      <c r="G22" s="76" t="s">
        <v>121</v>
      </c>
      <c r="H22" s="76" t="s">
        <v>121</v>
      </c>
      <c r="I22" s="76" t="s">
        <v>122</v>
      </c>
    </row>
    <row r="23" spans="1:9" ht="31.2">
      <c r="A23" s="54"/>
      <c r="B23" s="81" t="s">
        <v>142</v>
      </c>
      <c r="C23" s="150">
        <v>5</v>
      </c>
      <c r="D23" s="77" t="s">
        <v>139</v>
      </c>
      <c r="E23" s="77" t="s">
        <v>122</v>
      </c>
      <c r="F23" s="77" t="s">
        <v>122</v>
      </c>
      <c r="G23" s="77" t="s">
        <v>137</v>
      </c>
      <c r="H23" s="77" t="s">
        <v>137</v>
      </c>
      <c r="I23" s="77" t="s">
        <v>122</v>
      </c>
    </row>
    <row r="24" spans="1:9">
      <c r="A24" s="54"/>
      <c r="B24" s="47" t="s">
        <v>76</v>
      </c>
      <c r="C24" s="150">
        <v>2</v>
      </c>
      <c r="D24" s="77" t="s">
        <v>132</v>
      </c>
      <c r="E24" s="77" t="s">
        <v>125</v>
      </c>
      <c r="F24" s="77" t="s">
        <v>125</v>
      </c>
      <c r="G24" s="77" t="s">
        <v>125</v>
      </c>
      <c r="H24" s="77" t="s">
        <v>125</v>
      </c>
      <c r="I24" s="77" t="s">
        <v>125</v>
      </c>
    </row>
    <row r="25" spans="1:9">
      <c r="A25" s="54"/>
      <c r="B25" s="47" t="s">
        <v>77</v>
      </c>
      <c r="C25" s="150">
        <v>5</v>
      </c>
      <c r="D25" s="77" t="s">
        <v>132</v>
      </c>
      <c r="E25" s="77" t="s">
        <v>122</v>
      </c>
      <c r="F25" s="77" t="s">
        <v>122</v>
      </c>
      <c r="G25" s="77" t="s">
        <v>137</v>
      </c>
      <c r="H25" s="77" t="s">
        <v>121</v>
      </c>
      <c r="I25" s="77" t="s">
        <v>125</v>
      </c>
    </row>
    <row r="26" spans="1:9">
      <c r="A26" s="54"/>
      <c r="B26" s="47" t="s">
        <v>78</v>
      </c>
      <c r="C26" s="150">
        <v>2</v>
      </c>
      <c r="D26" s="77" t="s">
        <v>132</v>
      </c>
      <c r="E26" s="77" t="s">
        <v>122</v>
      </c>
      <c r="F26" s="77" t="s">
        <v>122</v>
      </c>
      <c r="G26" s="77" t="s">
        <v>137</v>
      </c>
      <c r="H26" s="77" t="s">
        <v>122</v>
      </c>
      <c r="I26" s="77" t="s">
        <v>125</v>
      </c>
    </row>
    <row r="27" spans="1:9" ht="31.2">
      <c r="A27" s="54"/>
      <c r="B27" s="83" t="s">
        <v>80</v>
      </c>
      <c r="C27" s="150">
        <v>5</v>
      </c>
      <c r="D27" s="76" t="s">
        <v>139</v>
      </c>
      <c r="E27" s="76" t="s">
        <v>127</v>
      </c>
      <c r="F27" s="76" t="s">
        <v>137</v>
      </c>
      <c r="G27" s="76" t="s">
        <v>125</v>
      </c>
      <c r="H27" s="76" t="s">
        <v>125</v>
      </c>
      <c r="I27" s="76" t="s">
        <v>127</v>
      </c>
    </row>
    <row r="28" spans="1:9" ht="31.2">
      <c r="A28" s="54"/>
      <c r="B28" s="81" t="s">
        <v>74</v>
      </c>
      <c r="C28" s="150">
        <v>5</v>
      </c>
      <c r="D28" s="77" t="s">
        <v>139</v>
      </c>
      <c r="E28" s="77" t="s">
        <v>125</v>
      </c>
      <c r="F28" s="77" t="s">
        <v>125</v>
      </c>
      <c r="G28" s="77" t="s">
        <v>137</v>
      </c>
      <c r="H28" s="77" t="s">
        <v>121</v>
      </c>
      <c r="I28" s="77" t="s">
        <v>122</v>
      </c>
    </row>
    <row r="29" spans="1:9" ht="28.8">
      <c r="A29" s="54"/>
      <c r="B29" s="48" t="s">
        <v>81</v>
      </c>
      <c r="C29" s="150">
        <v>5</v>
      </c>
      <c r="D29" s="76" t="s">
        <v>132</v>
      </c>
      <c r="E29" s="76" t="s">
        <v>127</v>
      </c>
      <c r="F29" s="76" t="s">
        <v>137</v>
      </c>
      <c r="G29" s="76" t="s">
        <v>125</v>
      </c>
      <c r="H29" s="76" t="s">
        <v>137</v>
      </c>
      <c r="I29" s="76" t="s">
        <v>127</v>
      </c>
    </row>
    <row r="30" spans="1:9">
      <c r="A30" s="183" t="s">
        <v>83</v>
      </c>
      <c r="B30" s="59"/>
      <c r="C30" s="63"/>
      <c r="D30" s="63"/>
      <c r="E30" s="63"/>
      <c r="F30" s="63"/>
      <c r="G30" s="63"/>
      <c r="H30" s="63"/>
      <c r="I30" s="63"/>
    </row>
    <row r="31" spans="1:9">
      <c r="A31" s="183"/>
      <c r="B31" s="48" t="s">
        <v>84</v>
      </c>
      <c r="C31" s="150">
        <v>2</v>
      </c>
      <c r="D31" s="76" t="s">
        <v>132</v>
      </c>
      <c r="E31" s="76" t="s">
        <v>121</v>
      </c>
      <c r="F31" s="76" t="s">
        <v>121</v>
      </c>
      <c r="G31" s="76" t="s">
        <v>121</v>
      </c>
      <c r="H31" s="76" t="s">
        <v>121</v>
      </c>
      <c r="I31" s="76" t="s">
        <v>122</v>
      </c>
    </row>
    <row r="32" spans="1:9">
      <c r="A32" s="183"/>
      <c r="B32" s="48" t="s">
        <v>85</v>
      </c>
      <c r="C32" s="150">
        <v>2</v>
      </c>
      <c r="D32" s="76" t="s">
        <v>132</v>
      </c>
      <c r="E32" s="76" t="s">
        <v>121</v>
      </c>
      <c r="F32" s="76" t="s">
        <v>121</v>
      </c>
      <c r="G32" s="76" t="s">
        <v>121</v>
      </c>
      <c r="H32" s="76" t="s">
        <v>121</v>
      </c>
      <c r="I32" s="76" t="s">
        <v>122</v>
      </c>
    </row>
    <row r="33" spans="1:9">
      <c r="A33" s="183"/>
      <c r="B33" s="48" t="s">
        <v>86</v>
      </c>
      <c r="C33" s="150">
        <v>2</v>
      </c>
      <c r="D33" s="76" t="s">
        <v>132</v>
      </c>
      <c r="E33" s="76" t="s">
        <v>121</v>
      </c>
      <c r="F33" s="76" t="s">
        <v>121</v>
      </c>
      <c r="G33" s="76" t="s">
        <v>121</v>
      </c>
      <c r="H33" s="76" t="s">
        <v>121</v>
      </c>
      <c r="I33" s="76" t="s">
        <v>122</v>
      </c>
    </row>
    <row r="34" spans="1:9">
      <c r="A34" s="183"/>
      <c r="B34" s="48" t="s">
        <v>87</v>
      </c>
      <c r="C34" s="150">
        <v>2</v>
      </c>
      <c r="D34" s="76" t="s">
        <v>132</v>
      </c>
      <c r="E34" s="76" t="s">
        <v>125</v>
      </c>
      <c r="F34" s="76" t="s">
        <v>125</v>
      </c>
      <c r="G34" s="76" t="s">
        <v>125</v>
      </c>
      <c r="H34" s="76" t="s">
        <v>121</v>
      </c>
      <c r="I34" s="76" t="s">
        <v>121</v>
      </c>
    </row>
    <row r="35" spans="1:9">
      <c r="A35" s="69" t="s">
        <v>143</v>
      </c>
      <c r="B35" s="59"/>
      <c r="C35" s="63"/>
      <c r="D35" s="63"/>
      <c r="E35" s="63"/>
      <c r="F35" s="63"/>
      <c r="G35" s="63"/>
      <c r="H35" s="63"/>
      <c r="I35" s="63"/>
    </row>
    <row r="36" spans="1:9">
      <c r="A36" s="54"/>
      <c r="B36" s="48" t="s">
        <v>144</v>
      </c>
      <c r="C36" s="150">
        <v>10</v>
      </c>
      <c r="D36" s="76" t="s">
        <v>120</v>
      </c>
      <c r="E36" s="76" t="s">
        <v>125</v>
      </c>
      <c r="F36" s="76" t="s">
        <v>125</v>
      </c>
      <c r="G36" s="76" t="s">
        <v>121</v>
      </c>
      <c r="H36" s="76" t="s">
        <v>121</v>
      </c>
      <c r="I36" s="76" t="s">
        <v>121</v>
      </c>
    </row>
    <row r="37" spans="1:9" ht="31.2">
      <c r="D37" s="65" t="s">
        <v>145</v>
      </c>
    </row>
    <row r="38" spans="1:9">
      <c r="A38" s="69" t="s">
        <v>146</v>
      </c>
      <c r="B38" s="81" t="s">
        <v>91</v>
      </c>
      <c r="C38" s="150">
        <v>5</v>
      </c>
      <c r="D38" s="77" t="s">
        <v>138</v>
      </c>
      <c r="E38" s="77" t="s">
        <v>138</v>
      </c>
      <c r="F38" s="77" t="s">
        <v>138</v>
      </c>
      <c r="G38" s="77" t="s">
        <v>138</v>
      </c>
      <c r="H38" s="77" t="s">
        <v>138</v>
      </c>
      <c r="I38" s="77" t="s">
        <v>138</v>
      </c>
    </row>
    <row r="39" spans="1:9" ht="78" customHeight="1">
      <c r="A39" s="184" t="s">
        <v>147</v>
      </c>
      <c r="B39" s="184"/>
    </row>
    <row r="40" spans="1:9">
      <c r="A40" s="185" t="s">
        <v>148</v>
      </c>
    </row>
    <row r="41" spans="1:9">
      <c r="A41" s="185"/>
      <c r="B41" s="46" t="s">
        <v>149</v>
      </c>
      <c r="C41" s="62" t="s">
        <v>26</v>
      </c>
    </row>
    <row r="42" spans="1:9">
      <c r="A42" s="185"/>
      <c r="B42" s="46" t="s">
        <v>150</v>
      </c>
      <c r="C42" s="85">
        <f>SUM(C5:C38)-C6</f>
        <v>141</v>
      </c>
    </row>
    <row r="43" spans="1:9">
      <c r="A43" s="185"/>
      <c r="B43" s="46" t="s">
        <v>151</v>
      </c>
    </row>
    <row r="44" spans="1:9">
      <c r="A44" s="185"/>
      <c r="B44" s="55" t="s">
        <v>152</v>
      </c>
    </row>
    <row r="45" spans="1:9">
      <c r="A45" s="185"/>
      <c r="B45" s="49" t="s">
        <v>153</v>
      </c>
    </row>
    <row r="46" spans="1:9">
      <c r="A46" s="185"/>
      <c r="B46" s="49" t="s">
        <v>154</v>
      </c>
    </row>
    <row r="47" spans="1:9">
      <c r="A47" s="185"/>
      <c r="B47" s="49" t="s">
        <v>155</v>
      </c>
    </row>
    <row r="48" spans="1:9">
      <c r="A48" s="185"/>
      <c r="B48" s="49" t="s">
        <v>156</v>
      </c>
    </row>
  </sheetData>
  <mergeCells count="3">
    <mergeCell ref="A30:A34"/>
    <mergeCell ref="A39:B39"/>
    <mergeCell ref="A40:A4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88910-3BD1-49C9-8E33-1764D15D87E6}">
  <sheetPr codeName="Feuil13">
    <tabColor theme="8" tint="0.79998168889431442"/>
  </sheetPr>
  <dimension ref="A1:I50"/>
  <sheetViews>
    <sheetView zoomScaleNormal="100" workbookViewId="0">
      <selection activeCell="D41" sqref="D41"/>
    </sheetView>
  </sheetViews>
  <sheetFormatPr baseColWidth="10" defaultColWidth="11" defaultRowHeight="15.6"/>
  <cols>
    <col min="1" max="1" width="31.5" style="29" customWidth="1"/>
    <col min="2" max="2" width="87.3984375" style="29" bestFit="1" customWidth="1"/>
    <col min="3" max="3" width="7.69921875" style="62" customWidth="1"/>
    <col min="4" max="4" width="10.19921875" style="62" customWidth="1"/>
    <col min="5" max="5" width="11.5" style="62" customWidth="1"/>
    <col min="6" max="9" width="7.69921875" style="62" customWidth="1"/>
  </cols>
  <sheetData>
    <row r="1" spans="1:9">
      <c r="B1" s="57" t="s">
        <v>111</v>
      </c>
    </row>
    <row r="2" spans="1:9">
      <c r="B2" s="58" t="s">
        <v>112</v>
      </c>
    </row>
    <row r="3" spans="1:9" ht="46.95" customHeight="1">
      <c r="C3" s="61" t="s">
        <v>113</v>
      </c>
      <c r="D3" s="61" t="s">
        <v>114</v>
      </c>
      <c r="E3" s="61" t="s">
        <v>115</v>
      </c>
      <c r="F3" s="61" t="s">
        <v>116</v>
      </c>
      <c r="G3" s="61" t="s">
        <v>117</v>
      </c>
      <c r="H3" s="61" t="s">
        <v>118</v>
      </c>
      <c r="I3" s="61" t="s">
        <v>119</v>
      </c>
    </row>
    <row r="4" spans="1:9">
      <c r="A4" s="59" t="s">
        <v>49</v>
      </c>
      <c r="B4" s="59"/>
      <c r="C4" s="61"/>
      <c r="D4" s="61"/>
      <c r="E4" s="61"/>
      <c r="F4" s="61"/>
      <c r="G4" s="61"/>
      <c r="H4" s="61"/>
      <c r="I4" s="61"/>
    </row>
    <row r="5" spans="1:9">
      <c r="B5" s="46" t="s">
        <v>108</v>
      </c>
      <c r="C5" s="85">
        <v>10</v>
      </c>
      <c r="D5" s="77" t="s">
        <v>120</v>
      </c>
      <c r="E5" s="77" t="s">
        <v>121</v>
      </c>
      <c r="F5" s="77" t="s">
        <v>121</v>
      </c>
      <c r="G5" s="77" t="s">
        <v>125</v>
      </c>
      <c r="H5" s="77" t="s">
        <v>121</v>
      </c>
      <c r="I5" s="77" t="s">
        <v>121</v>
      </c>
    </row>
    <row r="6" spans="1:9">
      <c r="B6" s="46" t="s">
        <v>54</v>
      </c>
      <c r="C6" s="85">
        <v>5</v>
      </c>
      <c r="D6" s="77" t="s">
        <v>120</v>
      </c>
      <c r="E6" s="77" t="s">
        <v>121</v>
      </c>
      <c r="F6" s="77" t="s">
        <v>121</v>
      </c>
      <c r="G6" s="77" t="s">
        <v>121</v>
      </c>
      <c r="H6" s="77" t="s">
        <v>121</v>
      </c>
      <c r="I6" s="77" t="s">
        <v>122</v>
      </c>
    </row>
    <row r="7" spans="1:9">
      <c r="B7" s="82" t="s">
        <v>123</v>
      </c>
      <c r="C7" s="85">
        <v>10</v>
      </c>
      <c r="D7" s="77" t="s">
        <v>124</v>
      </c>
      <c r="E7" s="63"/>
      <c r="F7" s="63"/>
      <c r="G7" s="63"/>
      <c r="H7" s="63"/>
      <c r="I7" s="77" t="s">
        <v>125</v>
      </c>
    </row>
    <row r="8" spans="1:9">
      <c r="A8" s="60" t="s">
        <v>58</v>
      </c>
      <c r="B8" s="59"/>
      <c r="C8" s="63"/>
      <c r="D8" s="63"/>
      <c r="E8" s="63"/>
      <c r="F8" s="63"/>
      <c r="G8" s="63"/>
      <c r="H8" s="63"/>
      <c r="I8" s="63"/>
    </row>
    <row r="9" spans="1:9">
      <c r="A9" s="54"/>
      <c r="B9" s="47" t="s">
        <v>126</v>
      </c>
      <c r="C9" s="150">
        <v>5</v>
      </c>
      <c r="D9" s="77" t="s">
        <v>120</v>
      </c>
      <c r="E9" s="77" t="s">
        <v>121</v>
      </c>
      <c r="F9" s="77" t="s">
        <v>121</v>
      </c>
      <c r="G9" s="77" t="s">
        <v>127</v>
      </c>
      <c r="H9" s="77" t="s">
        <v>121</v>
      </c>
      <c r="I9" s="77" t="s">
        <v>121</v>
      </c>
    </row>
    <row r="10" spans="1:9">
      <c r="A10" s="54"/>
      <c r="B10" s="47" t="s">
        <v>128</v>
      </c>
      <c r="C10" s="150">
        <v>5</v>
      </c>
      <c r="D10" s="77" t="s">
        <v>120</v>
      </c>
      <c r="E10" s="77" t="s">
        <v>121</v>
      </c>
      <c r="F10" s="77" t="s">
        <v>121</v>
      </c>
      <c r="G10" s="77" t="s">
        <v>127</v>
      </c>
      <c r="H10" s="77" t="s">
        <v>121</v>
      </c>
      <c r="I10" s="77" t="s">
        <v>121</v>
      </c>
    </row>
    <row r="11" spans="1:9">
      <c r="A11" s="54"/>
      <c r="B11" s="47" t="s">
        <v>129</v>
      </c>
      <c r="C11" s="150">
        <v>5</v>
      </c>
      <c r="D11" s="77" t="s">
        <v>120</v>
      </c>
      <c r="E11" s="77" t="s">
        <v>121</v>
      </c>
      <c r="F11" s="77" t="s">
        <v>121</v>
      </c>
      <c r="G11" s="77" t="s">
        <v>127</v>
      </c>
      <c r="H11" s="77" t="s">
        <v>121</v>
      </c>
      <c r="I11" s="77" t="s">
        <v>121</v>
      </c>
    </row>
    <row r="12" spans="1:9">
      <c r="A12" s="54"/>
      <c r="B12" s="47" t="s">
        <v>130</v>
      </c>
      <c r="C12" s="150">
        <v>5</v>
      </c>
      <c r="D12" s="77" t="s">
        <v>120</v>
      </c>
      <c r="E12" s="77" t="s">
        <v>121</v>
      </c>
      <c r="F12" s="77" t="s">
        <v>121</v>
      </c>
      <c r="G12" s="77" t="s">
        <v>127</v>
      </c>
      <c r="H12" s="77" t="s">
        <v>121</v>
      </c>
      <c r="I12" s="77" t="s">
        <v>121</v>
      </c>
    </row>
    <row r="13" spans="1:9">
      <c r="A13" s="54"/>
      <c r="B13" s="47" t="s">
        <v>131</v>
      </c>
      <c r="C13" s="150">
        <v>5</v>
      </c>
      <c r="D13" s="77" t="s">
        <v>132</v>
      </c>
      <c r="E13" s="77" t="s">
        <v>121</v>
      </c>
      <c r="F13" s="77" t="s">
        <v>121</v>
      </c>
      <c r="G13" s="77" t="s">
        <v>127</v>
      </c>
      <c r="H13" s="77" t="s">
        <v>121</v>
      </c>
      <c r="I13" s="77" t="s">
        <v>121</v>
      </c>
    </row>
    <row r="14" spans="1:9">
      <c r="A14" s="54"/>
      <c r="B14" s="47" t="s">
        <v>133</v>
      </c>
      <c r="C14" s="150">
        <v>5</v>
      </c>
      <c r="D14" s="77" t="s">
        <v>120</v>
      </c>
      <c r="E14" s="77" t="s">
        <v>121</v>
      </c>
      <c r="F14" s="77" t="s">
        <v>121</v>
      </c>
      <c r="G14" s="77" t="s">
        <v>127</v>
      </c>
      <c r="H14" s="77" t="s">
        <v>121</v>
      </c>
      <c r="I14" s="77" t="s">
        <v>121</v>
      </c>
    </row>
    <row r="15" spans="1:9">
      <c r="A15" s="54"/>
      <c r="B15" s="47" t="s">
        <v>134</v>
      </c>
      <c r="C15" s="150">
        <v>5</v>
      </c>
      <c r="D15" s="77" t="s">
        <v>120</v>
      </c>
      <c r="E15" s="77" t="s">
        <v>121</v>
      </c>
      <c r="F15" s="77" t="s">
        <v>121</v>
      </c>
      <c r="G15" s="77" t="s">
        <v>127</v>
      </c>
      <c r="H15" s="77" t="s">
        <v>121</v>
      </c>
      <c r="I15" s="77" t="s">
        <v>121</v>
      </c>
    </row>
    <row r="16" spans="1:9">
      <c r="A16" s="60" t="s">
        <v>67</v>
      </c>
      <c r="B16" s="59"/>
      <c r="C16" s="63"/>
      <c r="D16" s="63"/>
      <c r="E16" s="63"/>
      <c r="F16" s="63"/>
      <c r="G16" s="63"/>
      <c r="H16" s="63"/>
      <c r="I16" s="63"/>
    </row>
    <row r="17" spans="1:9" ht="31.2">
      <c r="A17" s="54"/>
      <c r="B17" s="81" t="s">
        <v>135</v>
      </c>
      <c r="C17" s="150">
        <v>10</v>
      </c>
      <c r="D17" s="77" t="s">
        <v>136</v>
      </c>
      <c r="E17" s="77" t="s">
        <v>127</v>
      </c>
      <c r="F17" s="77" t="s">
        <v>137</v>
      </c>
      <c r="G17" s="77" t="s">
        <v>122</v>
      </c>
      <c r="H17" s="77" t="s">
        <v>127</v>
      </c>
      <c r="I17" s="77" t="s">
        <v>138</v>
      </c>
    </row>
    <row r="18" spans="1:9" ht="15.6" customHeight="1">
      <c r="A18" s="54"/>
      <c r="B18" s="47" t="s">
        <v>69</v>
      </c>
      <c r="C18" s="150">
        <v>10</v>
      </c>
      <c r="D18" s="77" t="s">
        <v>139</v>
      </c>
      <c r="E18" s="77" t="s">
        <v>127</v>
      </c>
      <c r="F18" s="77" t="s">
        <v>137</v>
      </c>
      <c r="G18" s="77" t="s">
        <v>122</v>
      </c>
      <c r="H18" s="77" t="s">
        <v>127</v>
      </c>
      <c r="I18" s="77" t="s">
        <v>127</v>
      </c>
    </row>
    <row r="19" spans="1:9" ht="15.6" customHeight="1">
      <c r="A19" s="54"/>
      <c r="B19" s="47" t="s">
        <v>70</v>
      </c>
      <c r="C19" s="150">
        <v>10</v>
      </c>
      <c r="D19" s="77" t="s">
        <v>120</v>
      </c>
      <c r="E19" s="77" t="s">
        <v>127</v>
      </c>
      <c r="F19" s="77" t="s">
        <v>137</v>
      </c>
      <c r="G19" s="77" t="s">
        <v>122</v>
      </c>
      <c r="H19" s="77" t="s">
        <v>121</v>
      </c>
      <c r="I19" s="77" t="s">
        <v>127</v>
      </c>
    </row>
    <row r="20" spans="1:9" ht="15.6" customHeight="1">
      <c r="A20" s="54"/>
      <c r="B20" s="47" t="s">
        <v>71</v>
      </c>
      <c r="C20" s="150">
        <v>2</v>
      </c>
      <c r="D20" s="77" t="s">
        <v>120</v>
      </c>
      <c r="E20" s="77" t="s">
        <v>125</v>
      </c>
      <c r="F20" s="77" t="s">
        <v>125</v>
      </c>
      <c r="G20" s="77" t="s">
        <v>125</v>
      </c>
      <c r="H20" s="77" t="s">
        <v>125</v>
      </c>
      <c r="I20" s="77" t="s">
        <v>125</v>
      </c>
    </row>
    <row r="21" spans="1:9" ht="15.6" customHeight="1">
      <c r="A21" s="54"/>
      <c r="B21" s="47" t="s">
        <v>72</v>
      </c>
      <c r="C21" s="150">
        <v>2</v>
      </c>
      <c r="D21" s="77" t="s">
        <v>120</v>
      </c>
      <c r="E21" s="77" t="s">
        <v>125</v>
      </c>
      <c r="F21" s="77" t="s">
        <v>125</v>
      </c>
      <c r="G21" s="77" t="s">
        <v>125</v>
      </c>
      <c r="H21" s="77" t="s">
        <v>125</v>
      </c>
      <c r="I21" s="77" t="s">
        <v>125</v>
      </c>
    </row>
    <row r="22" spans="1:9" ht="15.6" customHeight="1">
      <c r="A22" s="54"/>
      <c r="B22" s="47" t="s">
        <v>109</v>
      </c>
      <c r="C22" s="150">
        <v>5</v>
      </c>
      <c r="D22" s="77"/>
      <c r="E22" s="77"/>
      <c r="F22" s="77"/>
      <c r="G22" s="77"/>
      <c r="H22" s="77"/>
      <c r="I22" s="77"/>
    </row>
    <row r="23" spans="1:9" ht="26.4">
      <c r="A23" s="54"/>
      <c r="B23" s="81" t="s">
        <v>73</v>
      </c>
      <c r="C23" s="150">
        <v>10</v>
      </c>
      <c r="D23" s="77" t="s">
        <v>140</v>
      </c>
      <c r="E23" s="77" t="s">
        <v>122</v>
      </c>
      <c r="F23" s="77" t="s">
        <v>122</v>
      </c>
      <c r="G23" s="77" t="s">
        <v>137</v>
      </c>
      <c r="H23" s="77" t="s">
        <v>122</v>
      </c>
      <c r="I23" s="77" t="s">
        <v>138</v>
      </c>
    </row>
    <row r="24" spans="1:9">
      <c r="A24" s="54"/>
      <c r="B24" s="48" t="s">
        <v>141</v>
      </c>
      <c r="C24" s="150">
        <v>10</v>
      </c>
      <c r="D24" s="76">
        <v>2</v>
      </c>
      <c r="E24" s="76" t="s">
        <v>121</v>
      </c>
      <c r="F24" s="76" t="s">
        <v>121</v>
      </c>
      <c r="G24" s="76" t="s">
        <v>121</v>
      </c>
      <c r="H24" s="76" t="s">
        <v>121</v>
      </c>
      <c r="I24" s="76" t="s">
        <v>122</v>
      </c>
    </row>
    <row r="25" spans="1:9" ht="31.2">
      <c r="A25" s="54"/>
      <c r="B25" s="81" t="s">
        <v>142</v>
      </c>
      <c r="C25" s="150">
        <v>5</v>
      </c>
      <c r="D25" s="77" t="s">
        <v>139</v>
      </c>
      <c r="E25" s="77" t="s">
        <v>122</v>
      </c>
      <c r="F25" s="77" t="s">
        <v>122</v>
      </c>
      <c r="G25" s="77" t="s">
        <v>137</v>
      </c>
      <c r="H25" s="77" t="s">
        <v>137</v>
      </c>
      <c r="I25" s="77" t="s">
        <v>122</v>
      </c>
    </row>
    <row r="26" spans="1:9">
      <c r="A26" s="54"/>
      <c r="B26" s="47" t="s">
        <v>76</v>
      </c>
      <c r="C26" s="150">
        <v>2</v>
      </c>
      <c r="D26" s="77" t="s">
        <v>132</v>
      </c>
      <c r="E26" s="77" t="s">
        <v>125</v>
      </c>
      <c r="F26" s="77" t="s">
        <v>125</v>
      </c>
      <c r="G26" s="77" t="s">
        <v>125</v>
      </c>
      <c r="H26" s="77" t="s">
        <v>125</v>
      </c>
      <c r="I26" s="77" t="s">
        <v>125</v>
      </c>
    </row>
    <row r="27" spans="1:9">
      <c r="A27" s="54"/>
      <c r="B27" s="47" t="s">
        <v>77</v>
      </c>
      <c r="C27" s="150">
        <v>5</v>
      </c>
      <c r="D27" s="77" t="s">
        <v>132</v>
      </c>
      <c r="E27" s="77" t="s">
        <v>122</v>
      </c>
      <c r="F27" s="77" t="s">
        <v>122</v>
      </c>
      <c r="G27" s="77" t="s">
        <v>137</v>
      </c>
      <c r="H27" s="77" t="s">
        <v>121</v>
      </c>
      <c r="I27" s="77" t="s">
        <v>125</v>
      </c>
    </row>
    <row r="28" spans="1:9">
      <c r="A28" s="54"/>
      <c r="B28" s="47" t="s">
        <v>78</v>
      </c>
      <c r="C28" s="150">
        <v>2</v>
      </c>
      <c r="D28" s="77" t="s">
        <v>132</v>
      </c>
      <c r="E28" s="77" t="s">
        <v>122</v>
      </c>
      <c r="F28" s="77" t="s">
        <v>122</v>
      </c>
      <c r="G28" s="77" t="s">
        <v>137</v>
      </c>
      <c r="H28" s="77" t="s">
        <v>122</v>
      </c>
      <c r="I28" s="77" t="s">
        <v>125</v>
      </c>
    </row>
    <row r="29" spans="1:9" ht="31.2">
      <c r="A29" s="54"/>
      <c r="B29" s="48" t="s">
        <v>80</v>
      </c>
      <c r="C29" s="150">
        <v>5</v>
      </c>
      <c r="D29" s="76" t="s">
        <v>139</v>
      </c>
      <c r="E29" s="76" t="s">
        <v>127</v>
      </c>
      <c r="F29" s="76" t="s">
        <v>137</v>
      </c>
      <c r="G29" s="76" t="s">
        <v>125</v>
      </c>
      <c r="H29" s="76" t="s">
        <v>125</v>
      </c>
      <c r="I29" s="76" t="s">
        <v>127</v>
      </c>
    </row>
    <row r="30" spans="1:9" ht="31.2">
      <c r="A30" s="54"/>
      <c r="B30" s="81" t="s">
        <v>74</v>
      </c>
      <c r="C30" s="150">
        <v>10</v>
      </c>
      <c r="D30" s="77" t="s">
        <v>139</v>
      </c>
      <c r="E30" s="77" t="s">
        <v>125</v>
      </c>
      <c r="F30" s="77" t="s">
        <v>125</v>
      </c>
      <c r="G30" s="77" t="s">
        <v>137</v>
      </c>
      <c r="H30" s="77" t="s">
        <v>121</v>
      </c>
      <c r="I30" s="77" t="s">
        <v>122</v>
      </c>
    </row>
    <row r="31" spans="1:9" ht="28.8">
      <c r="A31" s="54"/>
      <c r="B31" s="48" t="s">
        <v>81</v>
      </c>
      <c r="C31" s="150">
        <v>5</v>
      </c>
      <c r="D31" s="76" t="s">
        <v>132</v>
      </c>
      <c r="E31" s="76" t="s">
        <v>127</v>
      </c>
      <c r="F31" s="76" t="s">
        <v>137</v>
      </c>
      <c r="G31" s="76" t="s">
        <v>125</v>
      </c>
      <c r="H31" s="76" t="s">
        <v>137</v>
      </c>
      <c r="I31" s="76" t="s">
        <v>127</v>
      </c>
    </row>
    <row r="32" spans="1:9">
      <c r="A32" s="183" t="s">
        <v>83</v>
      </c>
      <c r="B32" s="59"/>
      <c r="C32" s="63"/>
      <c r="D32" s="63"/>
      <c r="E32" s="63"/>
      <c r="F32" s="63"/>
      <c r="G32" s="63"/>
      <c r="H32" s="63"/>
      <c r="I32" s="63"/>
    </row>
    <row r="33" spans="1:9">
      <c r="A33" s="183"/>
      <c r="B33" s="48" t="s">
        <v>84</v>
      </c>
      <c r="C33" s="150">
        <v>2</v>
      </c>
      <c r="D33" s="76" t="s">
        <v>132</v>
      </c>
      <c r="E33" s="76" t="s">
        <v>121</v>
      </c>
      <c r="F33" s="76" t="s">
        <v>121</v>
      </c>
      <c r="G33" s="76" t="s">
        <v>121</v>
      </c>
      <c r="H33" s="76" t="s">
        <v>121</v>
      </c>
      <c r="I33" s="76" t="s">
        <v>122</v>
      </c>
    </row>
    <row r="34" spans="1:9">
      <c r="A34" s="183"/>
      <c r="B34" s="48" t="s">
        <v>85</v>
      </c>
      <c r="C34" s="150">
        <v>2</v>
      </c>
      <c r="D34" s="76" t="s">
        <v>132</v>
      </c>
      <c r="E34" s="76" t="s">
        <v>121</v>
      </c>
      <c r="F34" s="76" t="s">
        <v>121</v>
      </c>
      <c r="G34" s="76" t="s">
        <v>121</v>
      </c>
      <c r="H34" s="76" t="s">
        <v>121</v>
      </c>
      <c r="I34" s="76" t="s">
        <v>122</v>
      </c>
    </row>
    <row r="35" spans="1:9">
      <c r="A35" s="183"/>
      <c r="B35" s="48" t="s">
        <v>86</v>
      </c>
      <c r="C35" s="150">
        <v>2</v>
      </c>
      <c r="D35" s="76" t="s">
        <v>132</v>
      </c>
      <c r="E35" s="76" t="s">
        <v>121</v>
      </c>
      <c r="F35" s="76" t="s">
        <v>121</v>
      </c>
      <c r="G35" s="76" t="s">
        <v>121</v>
      </c>
      <c r="H35" s="76" t="s">
        <v>121</v>
      </c>
      <c r="I35" s="76" t="s">
        <v>122</v>
      </c>
    </row>
    <row r="36" spans="1:9">
      <c r="A36" s="183"/>
      <c r="B36" s="48" t="s">
        <v>87</v>
      </c>
      <c r="C36" s="150">
        <v>2</v>
      </c>
      <c r="D36" s="76" t="s">
        <v>132</v>
      </c>
      <c r="E36" s="76" t="s">
        <v>125</v>
      </c>
      <c r="F36" s="76" t="s">
        <v>125</v>
      </c>
      <c r="G36" s="76" t="s">
        <v>125</v>
      </c>
      <c r="H36" s="76" t="s">
        <v>121</v>
      </c>
      <c r="I36" s="76" t="s">
        <v>121</v>
      </c>
    </row>
    <row r="37" spans="1:9">
      <c r="A37" s="69" t="s">
        <v>143</v>
      </c>
      <c r="B37" s="59"/>
      <c r="C37" s="63"/>
      <c r="D37" s="63"/>
      <c r="E37" s="63"/>
      <c r="F37" s="63"/>
      <c r="G37" s="63"/>
      <c r="H37" s="63"/>
      <c r="I37" s="63"/>
    </row>
    <row r="38" spans="1:9">
      <c r="A38" s="54"/>
      <c r="B38" s="48" t="s">
        <v>144</v>
      </c>
      <c r="C38" s="150">
        <v>10</v>
      </c>
      <c r="D38" s="76" t="s">
        <v>120</v>
      </c>
      <c r="E38" s="76" t="s">
        <v>125</v>
      </c>
      <c r="F38" s="76" t="s">
        <v>125</v>
      </c>
      <c r="G38" s="76" t="s">
        <v>121</v>
      </c>
      <c r="H38" s="76" t="s">
        <v>121</v>
      </c>
      <c r="I38" s="76" t="s">
        <v>121</v>
      </c>
    </row>
    <row r="39" spans="1:9" ht="31.2">
      <c r="D39" s="65" t="s">
        <v>145</v>
      </c>
    </row>
    <row r="40" spans="1:9">
      <c r="A40" s="69" t="s">
        <v>146</v>
      </c>
      <c r="B40" s="81" t="s">
        <v>91</v>
      </c>
      <c r="C40" s="150">
        <v>5</v>
      </c>
      <c r="D40" s="77" t="s">
        <v>138</v>
      </c>
      <c r="E40" s="77" t="s">
        <v>138</v>
      </c>
      <c r="F40" s="77" t="s">
        <v>138</v>
      </c>
      <c r="G40" s="77" t="s">
        <v>138</v>
      </c>
      <c r="H40" s="77" t="s">
        <v>138</v>
      </c>
      <c r="I40" s="77" t="s">
        <v>138</v>
      </c>
    </row>
    <row r="41" spans="1:9" ht="78" customHeight="1">
      <c r="A41" s="184" t="s">
        <v>147</v>
      </c>
      <c r="B41" s="184"/>
    </row>
    <row r="42" spans="1:9">
      <c r="A42" s="185" t="s">
        <v>148</v>
      </c>
      <c r="C42" s="62" t="s">
        <v>26</v>
      </c>
      <c r="D42" s="85"/>
    </row>
    <row r="43" spans="1:9">
      <c r="A43" s="185"/>
      <c r="B43" s="46" t="s">
        <v>149</v>
      </c>
      <c r="C43" s="85">
        <f>SUM(C5:C40)-C7</f>
        <v>166</v>
      </c>
    </row>
    <row r="44" spans="1:9">
      <c r="A44" s="185"/>
      <c r="B44" s="46" t="s">
        <v>150</v>
      </c>
    </row>
    <row r="45" spans="1:9">
      <c r="A45" s="185"/>
      <c r="B45" s="46" t="s">
        <v>151</v>
      </c>
    </row>
    <row r="46" spans="1:9">
      <c r="A46" s="185"/>
      <c r="B46" s="55" t="s">
        <v>152</v>
      </c>
    </row>
    <row r="47" spans="1:9">
      <c r="A47" s="185"/>
      <c r="B47" s="49" t="s">
        <v>153</v>
      </c>
    </row>
    <row r="48" spans="1:9">
      <c r="A48" s="185"/>
      <c r="B48" s="49" t="s">
        <v>154</v>
      </c>
    </row>
    <row r="49" spans="1:2">
      <c r="A49" s="185"/>
      <c r="B49" s="49" t="s">
        <v>155</v>
      </c>
    </row>
    <row r="50" spans="1:2">
      <c r="A50" s="185"/>
      <c r="B50" s="49" t="s">
        <v>156</v>
      </c>
    </row>
  </sheetData>
  <mergeCells count="3">
    <mergeCell ref="A32:A36"/>
    <mergeCell ref="A41:B41"/>
    <mergeCell ref="A42:A50"/>
  </mergeCells>
  <phoneticPr fontId="11" type="noConversion"/>
  <pageMargins left="0.7" right="0.7" top="0.75" bottom="0.75" header="0.3" footer="0.3"/>
  <ignoredErrors>
    <ignoredError sqref="D24 D8 E33:I36 E5:I6 E8:F15 G8:I16 E38:I38 I7 D16:F16 D37:I37 D32:I32 E23:I31 G17:H17 G18:I21 E17:F2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3DF9B-2DD1-B846-B519-1813DC317D8F}">
  <sheetPr codeName="Feuil4">
    <tabColor theme="8" tint="0.79998168889431442"/>
  </sheetPr>
  <dimension ref="A1:H53"/>
  <sheetViews>
    <sheetView zoomScaleNormal="100" workbookViewId="0">
      <selection activeCell="C18" sqref="C18:H18"/>
    </sheetView>
  </sheetViews>
  <sheetFormatPr baseColWidth="10" defaultColWidth="11" defaultRowHeight="15.6"/>
  <cols>
    <col min="1" max="1" width="80.8984375" style="29" customWidth="1"/>
    <col min="2" max="8" width="7.19921875" style="62" customWidth="1"/>
  </cols>
  <sheetData>
    <row r="1" spans="1:8">
      <c r="A1" s="57" t="s">
        <v>111</v>
      </c>
    </row>
    <row r="2" spans="1:8">
      <c r="A2" s="58" t="s">
        <v>112</v>
      </c>
    </row>
    <row r="3" spans="1:8" ht="46.8">
      <c r="B3" s="61" t="s">
        <v>113</v>
      </c>
      <c r="C3" s="61" t="s">
        <v>114</v>
      </c>
      <c r="D3" s="61" t="s">
        <v>115</v>
      </c>
      <c r="E3" s="61" t="s">
        <v>116</v>
      </c>
      <c r="F3" s="61" t="s">
        <v>117</v>
      </c>
      <c r="G3" s="61" t="s">
        <v>118</v>
      </c>
      <c r="H3" s="61" t="s">
        <v>119</v>
      </c>
    </row>
    <row r="4" spans="1:8">
      <c r="A4" s="59"/>
      <c r="B4" s="63"/>
      <c r="C4" s="63"/>
      <c r="D4" s="63"/>
      <c r="E4" s="63"/>
      <c r="F4" s="63"/>
      <c r="G4" s="63"/>
      <c r="H4" s="63"/>
    </row>
    <row r="5" spans="1:8">
      <c r="A5" s="46" t="s">
        <v>95</v>
      </c>
      <c r="B5" s="150">
        <v>5</v>
      </c>
      <c r="C5" s="77" t="s">
        <v>125</v>
      </c>
      <c r="D5" s="77" t="s">
        <v>125</v>
      </c>
      <c r="E5" s="77" t="s">
        <v>125</v>
      </c>
      <c r="F5" s="77" t="s">
        <v>121</v>
      </c>
      <c r="G5" s="77" t="s">
        <v>125</v>
      </c>
      <c r="H5" s="77" t="s">
        <v>122</v>
      </c>
    </row>
    <row r="6" spans="1:8">
      <c r="A6" s="49" t="s">
        <v>102</v>
      </c>
      <c r="B6" s="150">
        <v>5</v>
      </c>
      <c r="C6" s="76" t="s">
        <v>125</v>
      </c>
      <c r="D6" s="76" t="s">
        <v>125</v>
      </c>
      <c r="E6" s="76" t="s">
        <v>125</v>
      </c>
      <c r="F6" s="76" t="s">
        <v>121</v>
      </c>
      <c r="G6" s="76" t="s">
        <v>121</v>
      </c>
      <c r="H6" s="76" t="s">
        <v>122</v>
      </c>
    </row>
    <row r="7" spans="1:8">
      <c r="A7" s="49" t="s">
        <v>104</v>
      </c>
      <c r="B7" s="150">
        <v>5</v>
      </c>
      <c r="C7" s="76" t="s">
        <v>125</v>
      </c>
      <c r="D7" s="76" t="s">
        <v>125</v>
      </c>
      <c r="E7" s="76" t="s">
        <v>125</v>
      </c>
      <c r="F7" s="76" t="s">
        <v>121</v>
      </c>
      <c r="G7" s="76" t="s">
        <v>125</v>
      </c>
      <c r="H7" s="76" t="s">
        <v>122</v>
      </c>
    </row>
    <row r="8" spans="1:8">
      <c r="A8" s="48" t="s">
        <v>105</v>
      </c>
      <c r="B8" s="150">
        <v>5</v>
      </c>
      <c r="C8" s="76" t="s">
        <v>125</v>
      </c>
      <c r="D8" s="76" t="s">
        <v>125</v>
      </c>
      <c r="E8" s="76" t="s">
        <v>125</v>
      </c>
      <c r="F8" s="76" t="s">
        <v>121</v>
      </c>
      <c r="G8" s="76" t="s">
        <v>121</v>
      </c>
      <c r="H8" s="76" t="s">
        <v>122</v>
      </c>
    </row>
    <row r="9" spans="1:8">
      <c r="A9" s="48" t="s">
        <v>106</v>
      </c>
      <c r="B9" s="150">
        <v>5</v>
      </c>
      <c r="C9" s="76" t="s">
        <v>125</v>
      </c>
      <c r="D9" s="76" t="s">
        <v>125</v>
      </c>
      <c r="E9" s="76" t="s">
        <v>125</v>
      </c>
      <c r="F9" s="76" t="s">
        <v>121</v>
      </c>
      <c r="G9" s="76" t="s">
        <v>125</v>
      </c>
      <c r="H9" s="76" t="s">
        <v>122</v>
      </c>
    </row>
    <row r="10" spans="1:8" ht="28.8">
      <c r="A10" s="47" t="s">
        <v>157</v>
      </c>
      <c r="B10" s="150">
        <v>10</v>
      </c>
      <c r="C10" s="77" t="s">
        <v>158</v>
      </c>
      <c r="D10" s="77" t="s">
        <v>125</v>
      </c>
      <c r="E10" s="77" t="s">
        <v>125</v>
      </c>
      <c r="F10" s="77" t="s">
        <v>121</v>
      </c>
      <c r="G10" s="77" t="s">
        <v>137</v>
      </c>
      <c r="H10" s="77" t="s">
        <v>127</v>
      </c>
    </row>
    <row r="11" spans="1:8" ht="28.8">
      <c r="A11" s="47" t="s">
        <v>159</v>
      </c>
      <c r="B11" s="150">
        <v>10</v>
      </c>
      <c r="C11" s="77" t="s">
        <v>158</v>
      </c>
      <c r="D11" s="77" t="s">
        <v>125</v>
      </c>
      <c r="E11" s="77" t="s">
        <v>125</v>
      </c>
      <c r="F11" s="77" t="s">
        <v>121</v>
      </c>
      <c r="G11" s="77" t="s">
        <v>125</v>
      </c>
      <c r="H11" s="77" t="s">
        <v>122</v>
      </c>
    </row>
    <row r="12" spans="1:8" ht="16.2" customHeight="1">
      <c r="A12" s="47" t="s">
        <v>98</v>
      </c>
      <c r="B12" s="150">
        <v>5</v>
      </c>
      <c r="C12" s="77" t="s">
        <v>125</v>
      </c>
      <c r="D12" s="77" t="s">
        <v>125</v>
      </c>
      <c r="E12" s="77" t="s">
        <v>125</v>
      </c>
      <c r="F12" s="77" t="s">
        <v>121</v>
      </c>
      <c r="G12" s="77" t="s">
        <v>125</v>
      </c>
      <c r="H12" s="77" t="s">
        <v>122</v>
      </c>
    </row>
    <row r="13" spans="1:8" ht="28.8">
      <c r="A13" s="47" t="s">
        <v>160</v>
      </c>
      <c r="B13" s="85">
        <v>2</v>
      </c>
      <c r="C13" s="77" t="s">
        <v>125</v>
      </c>
      <c r="D13" s="77" t="s">
        <v>125</v>
      </c>
      <c r="E13" s="77" t="s">
        <v>125</v>
      </c>
      <c r="F13" s="77" t="s">
        <v>121</v>
      </c>
      <c r="G13" s="77" t="s">
        <v>127</v>
      </c>
      <c r="H13" s="77" t="s">
        <v>125</v>
      </c>
    </row>
    <row r="14" spans="1:8" ht="28.8">
      <c r="A14" s="47" t="s">
        <v>161</v>
      </c>
      <c r="B14" s="150">
        <v>10</v>
      </c>
      <c r="C14" s="77" t="s">
        <v>121</v>
      </c>
      <c r="D14" s="77" t="s">
        <v>127</v>
      </c>
      <c r="E14" s="77" t="s">
        <v>137</v>
      </c>
      <c r="F14" s="77" t="s">
        <v>122</v>
      </c>
      <c r="G14" s="77" t="s">
        <v>121</v>
      </c>
      <c r="H14" s="77" t="s">
        <v>125</v>
      </c>
    </row>
    <row r="15" spans="1:8" ht="31.2">
      <c r="A15" s="46" t="s">
        <v>101</v>
      </c>
      <c r="B15" s="150">
        <v>2</v>
      </c>
      <c r="C15" s="77" t="s">
        <v>125</v>
      </c>
      <c r="D15" s="77" t="s">
        <v>127</v>
      </c>
      <c r="E15" s="77" t="s">
        <v>137</v>
      </c>
      <c r="F15" s="77" t="s">
        <v>127</v>
      </c>
      <c r="G15" s="77" t="s">
        <v>121</v>
      </c>
      <c r="H15" s="77" t="s">
        <v>127</v>
      </c>
    </row>
    <row r="16" spans="1:8">
      <c r="B16" s="64" t="s">
        <v>26</v>
      </c>
    </row>
    <row r="17" spans="1:8">
      <c r="B17" s="85">
        <f>SUM(B5:B15)</f>
        <v>64</v>
      </c>
    </row>
    <row r="18" spans="1:8" ht="234">
      <c r="A18" s="53" t="s">
        <v>162</v>
      </c>
      <c r="B18" s="64"/>
      <c r="C18" s="186" t="s">
        <v>163</v>
      </c>
      <c r="D18" s="186"/>
      <c r="E18" s="186"/>
      <c r="F18" s="186"/>
      <c r="G18" s="186"/>
      <c r="H18" s="186"/>
    </row>
    <row r="19" spans="1:8">
      <c r="B19" s="64"/>
      <c r="C19" s="29"/>
    </row>
    <row r="20" spans="1:8">
      <c r="B20" s="64"/>
      <c r="C20" s="29"/>
    </row>
    <row r="21" spans="1:8">
      <c r="B21" s="64"/>
      <c r="C21" s="29"/>
    </row>
    <row r="22" spans="1:8">
      <c r="C22" s="56"/>
    </row>
    <row r="23" spans="1:8">
      <c r="B23" s="64"/>
    </row>
    <row r="45" spans="1:1" ht="21.6" thickBot="1">
      <c r="A45" s="50"/>
    </row>
    <row r="46" spans="1:1" ht="21.6" thickBot="1">
      <c r="A46" s="50" t="s">
        <v>164</v>
      </c>
    </row>
    <row r="47" spans="1:1" ht="21.6" thickBot="1">
      <c r="A47" s="51" t="s">
        <v>165</v>
      </c>
    </row>
    <row r="48" spans="1:1" ht="21.6" thickBot="1">
      <c r="A48" s="52" t="s">
        <v>166</v>
      </c>
    </row>
    <row r="49" spans="3:3" ht="16.2" thickBot="1"/>
    <row r="50" spans="3:3" ht="16.2" thickBot="1">
      <c r="C50" s="66"/>
    </row>
    <row r="51" spans="3:3">
      <c r="C51" s="66" t="e">
        <f>#REF!+#REF!</f>
        <v>#REF!</v>
      </c>
    </row>
    <row r="52" spans="3:3" ht="16.2" thickBot="1">
      <c r="C52" s="67" t="e">
        <f>((#REF!*#REF!)+(#REF!*#REF!))*2</f>
        <v>#REF!</v>
      </c>
    </row>
    <row r="53" spans="3:3" ht="21.6" thickBot="1">
      <c r="C53" s="68" t="e">
        <f>(((C$51*20)/100)+(C52*80/100))/5</f>
        <v>#REF!</v>
      </c>
    </row>
  </sheetData>
  <mergeCells count="1">
    <mergeCell ref="C18:H18"/>
  </mergeCells>
  <dataValidations count="1">
    <dataValidation showInputMessage="1" showErrorMessage="1" sqref="C8:C9" xr:uid="{B9E81DF6-CB8A-9042-8A0E-5CDEE1905AFA}"/>
  </dataValidations>
  <pageMargins left="0.7" right="0.7" top="0.75" bottom="0.75" header="0.3" footer="0.3"/>
  <ignoredErrors>
    <ignoredError sqref="C5:C15 D5:H15"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2F9A4-43AE-40A8-8EC7-15097BA8AA81}">
  <sheetPr codeName="Feuil8">
    <tabColor theme="9" tint="0.79998168889431442"/>
  </sheetPr>
  <dimension ref="A1:S31"/>
  <sheetViews>
    <sheetView workbookViewId="0">
      <selection activeCell="B11" sqref="B11"/>
    </sheetView>
  </sheetViews>
  <sheetFormatPr baseColWidth="10" defaultColWidth="11" defaultRowHeight="15.6"/>
  <cols>
    <col min="1" max="1" width="18.59765625" bestFit="1" customWidth="1"/>
  </cols>
  <sheetData>
    <row r="1" spans="1:19" ht="31.2">
      <c r="A1" s="80" t="s">
        <v>167</v>
      </c>
      <c r="B1" s="191" t="s">
        <v>168</v>
      </c>
      <c r="C1" s="191"/>
      <c r="D1" s="191"/>
      <c r="E1" s="191"/>
      <c r="F1" s="191"/>
    </row>
    <row r="2" spans="1:19" ht="29.4" customHeight="1">
      <c r="A2" s="194" t="s">
        <v>169</v>
      </c>
      <c r="B2" s="187" t="s">
        <v>170</v>
      </c>
      <c r="C2" s="188"/>
      <c r="D2" s="188"/>
      <c r="E2" s="188"/>
      <c r="F2" s="188"/>
      <c r="G2" s="188"/>
      <c r="H2" s="188"/>
      <c r="I2" s="188"/>
      <c r="J2" s="188"/>
      <c r="K2" s="188"/>
      <c r="L2" s="188"/>
      <c r="M2" s="188"/>
      <c r="N2" s="188"/>
      <c r="O2" s="188"/>
      <c r="P2" s="188"/>
      <c r="Q2" s="188"/>
      <c r="R2" s="188"/>
      <c r="S2" s="188"/>
    </row>
    <row r="3" spans="1:19" ht="29.4" customHeight="1">
      <c r="A3" s="195"/>
      <c r="B3" s="187" t="s">
        <v>171</v>
      </c>
      <c r="C3" s="188"/>
      <c r="D3" s="188"/>
      <c r="E3" s="188"/>
      <c r="F3" s="188"/>
      <c r="G3" s="188"/>
      <c r="H3" s="188"/>
      <c r="I3" s="188"/>
      <c r="J3" s="188"/>
      <c r="K3" s="188"/>
      <c r="L3" s="188"/>
      <c r="M3" s="188"/>
      <c r="N3" s="188"/>
      <c r="O3" s="188"/>
      <c r="P3" s="188"/>
      <c r="Q3" s="188"/>
      <c r="R3" s="188"/>
      <c r="S3" s="188"/>
    </row>
    <row r="4" spans="1:19" ht="29.4" customHeight="1">
      <c r="A4" s="195"/>
      <c r="B4" s="187" t="s">
        <v>172</v>
      </c>
      <c r="C4" s="188"/>
      <c r="D4" s="188"/>
      <c r="E4" s="188"/>
      <c r="F4" s="188"/>
      <c r="G4" s="188"/>
      <c r="H4" s="188"/>
      <c r="I4" s="188"/>
      <c r="J4" s="188"/>
      <c r="K4" s="188"/>
      <c r="L4" s="188"/>
      <c r="M4" s="188"/>
      <c r="N4" s="188"/>
      <c r="O4" s="188"/>
      <c r="P4" s="188"/>
      <c r="Q4" s="188"/>
      <c r="R4" s="188"/>
      <c r="S4" s="188"/>
    </row>
    <row r="5" spans="1:19" ht="29.4" customHeight="1">
      <c r="A5" s="195"/>
      <c r="B5" s="187" t="s">
        <v>173</v>
      </c>
      <c r="C5" s="188"/>
      <c r="D5" s="188"/>
      <c r="E5" s="188"/>
      <c r="F5" s="188"/>
      <c r="G5" s="188"/>
      <c r="H5" s="188"/>
      <c r="I5" s="188"/>
      <c r="J5" s="188"/>
      <c r="K5" s="188"/>
      <c r="L5" s="188"/>
      <c r="M5" s="188"/>
      <c r="N5" s="188"/>
      <c r="O5" s="188"/>
      <c r="P5" s="188"/>
      <c r="Q5" s="188"/>
      <c r="R5" s="188"/>
      <c r="S5" s="188"/>
    </row>
    <row r="6" spans="1:19" ht="29.4" customHeight="1">
      <c r="A6" s="195"/>
      <c r="B6" s="187" t="s">
        <v>174</v>
      </c>
      <c r="C6" s="188"/>
      <c r="D6" s="188"/>
      <c r="E6" s="188"/>
      <c r="F6" s="188"/>
      <c r="G6" s="188"/>
      <c r="H6" s="188"/>
      <c r="I6" s="188"/>
      <c r="J6" s="188"/>
      <c r="K6" s="188"/>
      <c r="L6" s="188"/>
      <c r="M6" s="188"/>
      <c r="N6" s="188"/>
      <c r="O6" s="188"/>
      <c r="P6" s="188"/>
      <c r="Q6" s="188"/>
      <c r="R6" s="188"/>
      <c r="S6" s="188"/>
    </row>
    <row r="7" spans="1:19" ht="29.4" customHeight="1">
      <c r="A7" s="196"/>
      <c r="B7" s="187" t="s">
        <v>175</v>
      </c>
      <c r="C7" s="188"/>
      <c r="D7" s="188"/>
      <c r="E7" s="188"/>
      <c r="F7" s="188"/>
      <c r="G7" s="188"/>
      <c r="H7" s="188"/>
      <c r="I7" s="188"/>
      <c r="J7" s="188"/>
      <c r="K7" s="188"/>
      <c r="L7" s="188"/>
      <c r="M7" s="188"/>
      <c r="N7" s="188"/>
      <c r="O7" s="188"/>
      <c r="P7" s="188"/>
      <c r="Q7" s="188"/>
      <c r="R7" s="188"/>
      <c r="S7" s="188"/>
    </row>
    <row r="8" spans="1:19" ht="29.4" customHeight="1">
      <c r="A8" s="194" t="s">
        <v>176</v>
      </c>
      <c r="B8" s="187" t="s">
        <v>177</v>
      </c>
      <c r="C8" s="188"/>
      <c r="D8" s="188"/>
      <c r="E8" s="188"/>
      <c r="F8" s="188"/>
      <c r="G8" s="188"/>
      <c r="H8" s="188"/>
      <c r="I8" s="188"/>
      <c r="J8" s="188"/>
      <c r="K8" s="188"/>
      <c r="L8" s="188"/>
      <c r="M8" s="188"/>
      <c r="N8" s="188"/>
      <c r="O8" s="188"/>
      <c r="P8" s="188"/>
      <c r="Q8" s="188"/>
      <c r="R8" s="188"/>
      <c r="S8" s="188"/>
    </row>
    <row r="9" spans="1:19" ht="29.4" customHeight="1">
      <c r="A9" s="195"/>
      <c r="B9" s="187" t="s">
        <v>178</v>
      </c>
      <c r="C9" s="188"/>
      <c r="D9" s="188"/>
      <c r="E9" s="188"/>
      <c r="F9" s="188"/>
      <c r="G9" s="188"/>
      <c r="H9" s="188"/>
      <c r="I9" s="188"/>
      <c r="J9" s="188"/>
      <c r="K9" s="188"/>
      <c r="L9" s="188"/>
      <c r="M9" s="188"/>
      <c r="N9" s="188"/>
      <c r="O9" s="188"/>
      <c r="P9" s="188"/>
      <c r="Q9" s="188"/>
      <c r="R9" s="188"/>
      <c r="S9" s="188"/>
    </row>
    <row r="10" spans="1:19" ht="29.4" customHeight="1">
      <c r="A10" s="195"/>
      <c r="B10" s="189" t="s">
        <v>179</v>
      </c>
      <c r="C10" s="190"/>
      <c r="D10" s="190"/>
      <c r="E10" s="190"/>
      <c r="F10" s="190"/>
      <c r="G10" s="190"/>
      <c r="H10" s="190"/>
      <c r="I10" s="190"/>
      <c r="J10" s="190"/>
      <c r="K10" s="190"/>
      <c r="L10" s="190"/>
      <c r="M10" s="190"/>
      <c r="N10" s="190"/>
      <c r="O10" s="190"/>
      <c r="P10" s="190"/>
      <c r="Q10" s="190"/>
      <c r="R10" s="190"/>
      <c r="S10" s="190"/>
    </row>
    <row r="11" spans="1:19" ht="29.4" customHeight="1">
      <c r="A11" s="195"/>
      <c r="B11" s="187" t="s">
        <v>180</v>
      </c>
      <c r="C11" s="188"/>
      <c r="D11" s="188"/>
      <c r="E11" s="188"/>
      <c r="F11" s="188"/>
      <c r="G11" s="188"/>
      <c r="H11" s="188"/>
      <c r="I11" s="188"/>
      <c r="J11" s="188"/>
      <c r="K11" s="188"/>
      <c r="L11" s="188"/>
      <c r="M11" s="188"/>
      <c r="N11" s="188"/>
      <c r="O11" s="188"/>
      <c r="P11" s="188"/>
      <c r="Q11" s="188"/>
      <c r="R11" s="188"/>
      <c r="S11" s="188"/>
    </row>
    <row r="12" spans="1:19" ht="29.4" customHeight="1">
      <c r="A12" s="196"/>
      <c r="B12" s="187" t="s">
        <v>181</v>
      </c>
      <c r="C12" s="188"/>
      <c r="D12" s="188"/>
      <c r="E12" s="188"/>
      <c r="F12" s="188"/>
      <c r="G12" s="188"/>
      <c r="H12" s="188"/>
      <c r="I12" s="188"/>
      <c r="J12" s="188"/>
      <c r="K12" s="188"/>
      <c r="L12" s="188"/>
      <c r="M12" s="188"/>
      <c r="N12" s="188"/>
      <c r="O12" s="188"/>
      <c r="P12" s="188"/>
      <c r="Q12" s="188"/>
      <c r="R12" s="188"/>
      <c r="S12" s="188"/>
    </row>
    <row r="13" spans="1:19" ht="29.4" customHeight="1">
      <c r="A13" s="194" t="s">
        <v>182</v>
      </c>
      <c r="B13" s="187" t="s">
        <v>183</v>
      </c>
      <c r="C13" s="188"/>
      <c r="D13" s="188"/>
      <c r="E13" s="188"/>
      <c r="F13" s="188"/>
      <c r="G13" s="188"/>
      <c r="H13" s="188"/>
      <c r="I13" s="188"/>
      <c r="J13" s="188"/>
      <c r="K13" s="188"/>
      <c r="L13" s="188"/>
      <c r="M13" s="188"/>
      <c r="N13" s="188"/>
      <c r="O13" s="188"/>
      <c r="P13" s="188"/>
      <c r="Q13" s="188"/>
      <c r="R13" s="188"/>
      <c r="S13" s="188"/>
    </row>
    <row r="14" spans="1:19" ht="29.4" customHeight="1">
      <c r="A14" s="195"/>
      <c r="B14" s="187" t="s">
        <v>184</v>
      </c>
      <c r="C14" s="188"/>
      <c r="D14" s="188"/>
      <c r="E14" s="188"/>
      <c r="F14" s="188"/>
      <c r="G14" s="188"/>
      <c r="H14" s="188"/>
      <c r="I14" s="188"/>
      <c r="J14" s="188"/>
      <c r="K14" s="188"/>
      <c r="L14" s="188"/>
      <c r="M14" s="188"/>
      <c r="N14" s="188"/>
      <c r="O14" s="188"/>
      <c r="P14" s="188"/>
      <c r="Q14" s="188"/>
      <c r="R14" s="188"/>
      <c r="S14" s="188"/>
    </row>
    <row r="15" spans="1:19" ht="29.4" customHeight="1">
      <c r="A15" s="195"/>
      <c r="B15" s="187" t="s">
        <v>185</v>
      </c>
      <c r="C15" s="188"/>
      <c r="D15" s="188"/>
      <c r="E15" s="188"/>
      <c r="F15" s="188"/>
      <c r="G15" s="188"/>
      <c r="H15" s="188"/>
      <c r="I15" s="188"/>
      <c r="J15" s="188"/>
      <c r="K15" s="188"/>
      <c r="L15" s="188"/>
      <c r="M15" s="188"/>
      <c r="N15" s="188"/>
      <c r="O15" s="188"/>
      <c r="P15" s="188"/>
      <c r="Q15" s="188"/>
      <c r="R15" s="188"/>
      <c r="S15" s="188"/>
    </row>
    <row r="16" spans="1:19" ht="29.4" customHeight="1">
      <c r="A16" s="195"/>
      <c r="B16" s="187" t="s">
        <v>186</v>
      </c>
      <c r="C16" s="188"/>
      <c r="D16" s="188"/>
      <c r="E16" s="188"/>
      <c r="F16" s="188"/>
      <c r="G16" s="188"/>
      <c r="H16" s="188"/>
      <c r="I16" s="188"/>
      <c r="J16" s="188"/>
      <c r="K16" s="188"/>
      <c r="L16" s="188"/>
      <c r="M16" s="188"/>
      <c r="N16" s="188"/>
      <c r="O16" s="188"/>
      <c r="P16" s="188"/>
      <c r="Q16" s="188"/>
      <c r="R16" s="188"/>
      <c r="S16" s="188"/>
    </row>
    <row r="17" spans="1:19" ht="29.4" customHeight="1">
      <c r="A17" s="195"/>
      <c r="B17" s="187" t="s">
        <v>187</v>
      </c>
      <c r="C17" s="188"/>
      <c r="D17" s="188"/>
      <c r="E17" s="188"/>
      <c r="F17" s="188"/>
      <c r="G17" s="188"/>
      <c r="H17" s="188"/>
      <c r="I17" s="188"/>
      <c r="J17" s="188"/>
      <c r="K17" s="188"/>
      <c r="L17" s="188"/>
      <c r="M17" s="188"/>
      <c r="N17" s="188"/>
      <c r="O17" s="188"/>
      <c r="P17" s="188"/>
      <c r="Q17" s="188"/>
      <c r="R17" s="188"/>
      <c r="S17" s="188"/>
    </row>
    <row r="18" spans="1:19" ht="29.4" customHeight="1">
      <c r="A18" s="195"/>
      <c r="B18" s="187" t="s">
        <v>188</v>
      </c>
      <c r="C18" s="188"/>
      <c r="D18" s="188"/>
      <c r="E18" s="188"/>
      <c r="F18" s="188"/>
      <c r="G18" s="188"/>
      <c r="H18" s="188"/>
      <c r="I18" s="188"/>
      <c r="J18" s="188"/>
      <c r="K18" s="188"/>
      <c r="L18" s="188"/>
      <c r="M18" s="188"/>
      <c r="N18" s="188"/>
      <c r="O18" s="188"/>
      <c r="P18" s="188"/>
      <c r="Q18" s="188"/>
      <c r="R18" s="188"/>
      <c r="S18" s="188"/>
    </row>
    <row r="19" spans="1:19" ht="29.4" customHeight="1">
      <c r="A19" s="195"/>
      <c r="B19" s="187" t="s">
        <v>189</v>
      </c>
      <c r="C19" s="188"/>
      <c r="D19" s="188"/>
      <c r="E19" s="188"/>
      <c r="F19" s="188"/>
      <c r="G19" s="188"/>
      <c r="H19" s="188"/>
      <c r="I19" s="188"/>
      <c r="J19" s="188"/>
      <c r="K19" s="188"/>
      <c r="L19" s="188"/>
      <c r="M19" s="188"/>
      <c r="N19" s="188"/>
      <c r="O19" s="188"/>
      <c r="P19" s="188"/>
      <c r="Q19" s="188"/>
      <c r="R19" s="188"/>
      <c r="S19" s="188"/>
    </row>
    <row r="20" spans="1:19" ht="29.4" customHeight="1">
      <c r="A20" s="196"/>
      <c r="B20" s="187" t="s">
        <v>190</v>
      </c>
      <c r="C20" s="188"/>
      <c r="D20" s="188"/>
      <c r="E20" s="188"/>
      <c r="F20" s="188"/>
      <c r="G20" s="188"/>
      <c r="H20" s="188"/>
      <c r="I20" s="188"/>
      <c r="J20" s="188"/>
      <c r="K20" s="188"/>
      <c r="L20" s="188"/>
      <c r="M20" s="188"/>
      <c r="N20" s="188"/>
      <c r="O20" s="188"/>
      <c r="P20" s="188"/>
      <c r="Q20" s="188"/>
      <c r="R20" s="188"/>
      <c r="S20" s="188"/>
    </row>
    <row r="21" spans="1:19" ht="29.4" customHeight="1">
      <c r="A21" s="192" t="s">
        <v>191</v>
      </c>
      <c r="B21" s="188" t="s">
        <v>192</v>
      </c>
      <c r="C21" s="188"/>
      <c r="D21" s="188"/>
      <c r="E21" s="188"/>
      <c r="F21" s="188"/>
      <c r="G21" s="188"/>
      <c r="H21" s="188"/>
      <c r="I21" s="188"/>
      <c r="J21" s="188"/>
      <c r="K21" s="188"/>
      <c r="L21" s="188"/>
      <c r="M21" s="188"/>
      <c r="N21" s="188"/>
      <c r="O21" s="188"/>
      <c r="P21" s="188"/>
      <c r="Q21" s="188"/>
      <c r="R21" s="188"/>
      <c r="S21" s="188"/>
    </row>
    <row r="22" spans="1:19" ht="29.4" customHeight="1">
      <c r="A22" s="193"/>
      <c r="B22" s="188" t="s">
        <v>193</v>
      </c>
      <c r="C22" s="188"/>
      <c r="D22" s="188"/>
      <c r="E22" s="188"/>
      <c r="F22" s="188"/>
      <c r="G22" s="188"/>
      <c r="H22" s="188"/>
      <c r="I22" s="188"/>
      <c r="J22" s="188"/>
      <c r="K22" s="188"/>
      <c r="L22" s="188"/>
      <c r="M22" s="188"/>
      <c r="N22" s="188"/>
      <c r="O22" s="188"/>
      <c r="P22" s="188"/>
      <c r="Q22" s="188"/>
      <c r="R22" s="188"/>
      <c r="S22" s="188"/>
    </row>
    <row r="23" spans="1:19" ht="29.4" customHeight="1">
      <c r="A23" s="193"/>
      <c r="B23" s="188" t="s">
        <v>194</v>
      </c>
      <c r="C23" s="188"/>
      <c r="D23" s="188"/>
      <c r="E23" s="188"/>
      <c r="F23" s="188"/>
      <c r="G23" s="188"/>
      <c r="H23" s="188"/>
      <c r="I23" s="188"/>
      <c r="J23" s="188"/>
      <c r="K23" s="188"/>
      <c r="L23" s="188"/>
      <c r="M23" s="188"/>
      <c r="N23" s="188"/>
      <c r="O23" s="188"/>
      <c r="P23" s="188"/>
      <c r="Q23" s="188"/>
      <c r="R23" s="188"/>
      <c r="S23" s="188"/>
    </row>
    <row r="24" spans="1:19" ht="29.4" customHeight="1">
      <c r="A24" s="193"/>
      <c r="B24" s="188" t="s">
        <v>195</v>
      </c>
      <c r="C24" s="188"/>
      <c r="D24" s="188"/>
      <c r="E24" s="188"/>
      <c r="F24" s="188"/>
      <c r="G24" s="188"/>
      <c r="H24" s="188"/>
      <c r="I24" s="188"/>
      <c r="J24" s="188"/>
      <c r="K24" s="188"/>
      <c r="L24" s="188"/>
      <c r="M24" s="188"/>
      <c r="N24" s="188"/>
      <c r="O24" s="188"/>
      <c r="P24" s="188"/>
      <c r="Q24" s="188"/>
      <c r="R24" s="188"/>
      <c r="S24" s="188"/>
    </row>
    <row r="25" spans="1:19" ht="29.4" customHeight="1">
      <c r="A25" s="193"/>
      <c r="B25" s="188" t="s">
        <v>196</v>
      </c>
      <c r="C25" s="188"/>
      <c r="D25" s="188"/>
      <c r="E25" s="188"/>
      <c r="F25" s="188"/>
      <c r="G25" s="188"/>
      <c r="H25" s="188"/>
      <c r="I25" s="188"/>
      <c r="J25" s="188"/>
      <c r="K25" s="188"/>
      <c r="L25" s="188"/>
      <c r="M25" s="188"/>
      <c r="N25" s="188"/>
      <c r="O25" s="188"/>
      <c r="P25" s="188"/>
      <c r="Q25" s="188"/>
      <c r="R25" s="188"/>
      <c r="S25" s="188"/>
    </row>
    <row r="26" spans="1:19" ht="29.4" customHeight="1">
      <c r="A26" s="193"/>
      <c r="B26" s="188" t="s">
        <v>197</v>
      </c>
      <c r="C26" s="188"/>
      <c r="D26" s="188"/>
      <c r="E26" s="188"/>
      <c r="F26" s="188"/>
      <c r="G26" s="188"/>
      <c r="H26" s="188"/>
      <c r="I26" s="188"/>
      <c r="J26" s="188"/>
      <c r="K26" s="188"/>
      <c r="L26" s="188"/>
      <c r="M26" s="188"/>
      <c r="N26" s="188"/>
      <c r="O26" s="188"/>
      <c r="P26" s="188"/>
      <c r="Q26" s="188"/>
      <c r="R26" s="188"/>
      <c r="S26" s="188"/>
    </row>
    <row r="27" spans="1:19" ht="29.4" customHeight="1">
      <c r="A27" s="193"/>
      <c r="B27" s="188" t="s">
        <v>198</v>
      </c>
      <c r="C27" s="188"/>
      <c r="D27" s="188"/>
      <c r="E27" s="188"/>
      <c r="F27" s="188"/>
      <c r="G27" s="188"/>
      <c r="H27" s="188"/>
      <c r="I27" s="188"/>
      <c r="J27" s="188"/>
      <c r="K27" s="188"/>
      <c r="L27" s="188"/>
      <c r="M27" s="188"/>
      <c r="N27" s="188"/>
      <c r="O27" s="188"/>
      <c r="P27" s="188"/>
      <c r="Q27" s="188"/>
      <c r="R27" s="188"/>
      <c r="S27" s="188"/>
    </row>
    <row r="28" spans="1:19" ht="29.4" customHeight="1">
      <c r="A28" s="193"/>
      <c r="B28" s="188" t="s">
        <v>199</v>
      </c>
      <c r="C28" s="188"/>
      <c r="D28" s="188"/>
      <c r="E28" s="188"/>
      <c r="F28" s="188"/>
      <c r="G28" s="188"/>
      <c r="H28" s="188"/>
      <c r="I28" s="188"/>
      <c r="J28" s="188"/>
      <c r="K28" s="188"/>
      <c r="L28" s="188"/>
      <c r="M28" s="188"/>
      <c r="N28" s="188"/>
      <c r="O28" s="188"/>
      <c r="P28" s="188"/>
      <c r="Q28" s="188"/>
      <c r="R28" s="188"/>
      <c r="S28" s="188"/>
    </row>
    <row r="29" spans="1:19" ht="29.4" customHeight="1">
      <c r="A29" s="193"/>
      <c r="B29" s="188" t="s">
        <v>200</v>
      </c>
      <c r="C29" s="188"/>
      <c r="D29" s="188"/>
      <c r="E29" s="188"/>
      <c r="F29" s="188"/>
      <c r="G29" s="188"/>
      <c r="H29" s="188"/>
      <c r="I29" s="188"/>
      <c r="J29" s="188"/>
      <c r="K29" s="188"/>
      <c r="L29" s="188"/>
      <c r="M29" s="188"/>
      <c r="N29" s="188"/>
      <c r="O29" s="188"/>
      <c r="P29" s="188"/>
      <c r="Q29" s="188"/>
      <c r="R29" s="188"/>
      <c r="S29" s="188"/>
    </row>
    <row r="30" spans="1:19" ht="29.4" customHeight="1">
      <c r="A30" s="193"/>
      <c r="B30" s="188" t="s">
        <v>201</v>
      </c>
      <c r="C30" s="188"/>
      <c r="D30" s="188"/>
      <c r="E30" s="188"/>
      <c r="F30" s="188"/>
      <c r="G30" s="188"/>
      <c r="H30" s="188"/>
      <c r="I30" s="188"/>
      <c r="J30" s="188"/>
      <c r="K30" s="188"/>
      <c r="L30" s="188"/>
      <c r="M30" s="188"/>
      <c r="N30" s="188"/>
      <c r="O30" s="188"/>
      <c r="P30" s="188"/>
      <c r="Q30" s="188"/>
      <c r="R30" s="188"/>
      <c r="S30" s="188"/>
    </row>
    <row r="31" spans="1:19" ht="29.4" customHeight="1">
      <c r="A31" s="193"/>
      <c r="B31" s="188" t="s">
        <v>202</v>
      </c>
      <c r="C31" s="188"/>
      <c r="D31" s="188"/>
      <c r="E31" s="188"/>
      <c r="F31" s="188"/>
      <c r="G31" s="188"/>
      <c r="H31" s="188"/>
      <c r="I31" s="188"/>
      <c r="J31" s="188"/>
      <c r="K31" s="188"/>
      <c r="L31" s="188"/>
      <c r="M31" s="188"/>
      <c r="N31" s="188"/>
      <c r="O31" s="188"/>
      <c r="P31" s="188"/>
      <c r="Q31" s="188"/>
      <c r="R31" s="188"/>
      <c r="S31" s="188"/>
    </row>
  </sheetData>
  <mergeCells count="35">
    <mergeCell ref="B1:F1"/>
    <mergeCell ref="A21:A31"/>
    <mergeCell ref="A13:A20"/>
    <mergeCell ref="A8:A12"/>
    <mergeCell ref="A2:A7"/>
    <mergeCell ref="B2:S2"/>
    <mergeCell ref="B3:S3"/>
    <mergeCell ref="B4:S4"/>
    <mergeCell ref="B5:S5"/>
    <mergeCell ref="B6:S6"/>
    <mergeCell ref="B19:S19"/>
    <mergeCell ref="B7:S7"/>
    <mergeCell ref="B8:S8"/>
    <mergeCell ref="B9:S9"/>
    <mergeCell ref="B11:S11"/>
    <mergeCell ref="B12:S12"/>
    <mergeCell ref="B13:S13"/>
    <mergeCell ref="B10:S10"/>
    <mergeCell ref="B14:S14"/>
    <mergeCell ref="B15:S15"/>
    <mergeCell ref="B16:S16"/>
    <mergeCell ref="B17:S17"/>
    <mergeCell ref="B18:S18"/>
    <mergeCell ref="B31:S31"/>
    <mergeCell ref="B20:S20"/>
    <mergeCell ref="B21:S21"/>
    <mergeCell ref="B22:S22"/>
    <mergeCell ref="B23:S23"/>
    <mergeCell ref="B24:S24"/>
    <mergeCell ref="B25:S25"/>
    <mergeCell ref="B26:S26"/>
    <mergeCell ref="B27:S27"/>
    <mergeCell ref="B28:S28"/>
    <mergeCell ref="B29:S29"/>
    <mergeCell ref="B30:S3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E3690-0979-429F-B900-F7B0EA900908}">
  <sheetPr codeName="Feuil14"/>
  <dimension ref="A1:G7"/>
  <sheetViews>
    <sheetView workbookViewId="0">
      <selection activeCell="E6" sqref="E6"/>
    </sheetView>
  </sheetViews>
  <sheetFormatPr baseColWidth="10" defaultColWidth="11" defaultRowHeight="15.6"/>
  <cols>
    <col min="2" max="7" width="7.3984375" customWidth="1"/>
  </cols>
  <sheetData>
    <row r="1" spans="1:7" ht="31.2">
      <c r="A1" s="53"/>
      <c r="B1" s="74" t="s">
        <v>203</v>
      </c>
      <c r="C1" s="74" t="s">
        <v>204</v>
      </c>
      <c r="D1" s="75" t="s">
        <v>205</v>
      </c>
      <c r="E1" s="74" t="s">
        <v>206</v>
      </c>
      <c r="F1" s="74" t="s">
        <v>207</v>
      </c>
      <c r="G1" s="74" t="s">
        <v>208</v>
      </c>
    </row>
    <row r="2" spans="1:7">
      <c r="A2" s="69">
        <v>40147</v>
      </c>
      <c r="B2" s="70">
        <f>COUNTIFS('DOSSIER TECHNIQUE M2'!$D$5:$D$38,1)+COUNTIFS('VIDEO M1 &amp; M2'!$C$5:$C$15,1)</f>
        <v>8</v>
      </c>
      <c r="C2" s="70">
        <f>COUNTIFS('DOSSIER TECHNIQUE M2'!$D5:$D38,2)+COUNTIFS('VIDEO M1 &amp; M2'!$C5:$C15,2)</f>
        <v>2</v>
      </c>
      <c r="D2" s="71">
        <f>COUNTIFS('DOSSIER TECHNIQUE M2'!$D5:$D38,"3/4")+COUNTIFS('VIDEO M1 &amp; M2'!$C5:$C15,"3/4")</f>
        <v>2</v>
      </c>
      <c r="E2" s="84">
        <f>COUNTIFS('DOSSIER TECHNIQUE M2'!$D5:$D38,"3")+COUNTIFS('VIDEO M1 &amp; M2'!$C5:$C15,"3")</f>
        <v>0</v>
      </c>
      <c r="F2" s="72"/>
      <c r="G2" s="72"/>
    </row>
    <row r="3" spans="1:7" ht="31.2">
      <c r="A3" s="69" t="s">
        <v>115</v>
      </c>
      <c r="B3" s="71">
        <f>COUNTIFS('DOSSIER TECHNIQUE M2'!$E$5:$E$38,1)+COUNTIFS('VIDEO M1 &amp; M2'!$D$5:$D$15,1)</f>
        <v>15</v>
      </c>
      <c r="C3" s="71">
        <f>COUNTIFS('DOSSIER TECHNIQUE M2'!$E$5:$E$38,2)+COUNTIFS('VIDEO M1 &amp; M2'!$D$5:$D$15,2)</f>
        <v>13</v>
      </c>
      <c r="D3" s="73"/>
      <c r="E3" s="71">
        <f>COUNTIFS('DOSSIER TECHNIQUE M2'!$E$5:$E$38,3)+COUNTIFS('VIDEO M1 &amp; M2'!$D$5:$D$15,3)</f>
        <v>4</v>
      </c>
      <c r="F3" s="71">
        <f>COUNTIFS('DOSSIER TECHNIQUE M2'!$E$5:$E$38,4)+COUNTIFS('VIDEO M1 &amp; M2'!$D$5:$D$15,4)</f>
        <v>7</v>
      </c>
      <c r="G3" s="73"/>
    </row>
    <row r="4" spans="1:7" ht="31.2">
      <c r="A4" s="69" t="s">
        <v>116</v>
      </c>
      <c r="B4" s="71">
        <f>COUNTIFS('DOSSIER TECHNIQUE M2'!$F$5:$F$38,1)+COUNTIFS('VIDEO M1 &amp; M2'!$E$5:$E$15,1)</f>
        <v>15</v>
      </c>
      <c r="C4" s="79">
        <f>COUNTIFS('DOSSIER TECHNIQUE M2'!$F$5:$F$38,2)+COUNTIFS('VIDEO M1 &amp; M2'!$E$5:$E$15,2)</f>
        <v>13</v>
      </c>
      <c r="D4" s="73"/>
      <c r="E4" s="79">
        <f>COUNTIFS('DOSSIER TECHNIQUE M2'!$F$5:$F$38,3)+COUNTIFS('VIDEO M1 &amp; M2'!$E$5:$E$15,3)</f>
        <v>4</v>
      </c>
      <c r="F4" s="78"/>
      <c r="G4" s="79">
        <f>COUNTIFS('DOSSIER TECHNIQUE M2'!$F$5:$F$38,5)+COUNTIFS('VIDEO M1 &amp; M2'!$E$5:$E$15,5)</f>
        <v>7</v>
      </c>
    </row>
    <row r="5" spans="1:7" ht="31.2">
      <c r="A5" s="69" t="s">
        <v>117</v>
      </c>
      <c r="B5" s="71">
        <f>COUNTIFS('DOSSIER TECHNIQUE M2'!$G$5:$G$38,1)+COUNTIFS('VIDEO M1 &amp; M2'!$F$5:$F$15,1)</f>
        <v>7</v>
      </c>
      <c r="C5" s="71">
        <f>COUNTIFS('DOSSIER TECHNIQUE M2'!$G$5:$G$38,1)+COUNTIFS('VIDEO M1 &amp; M2'!$F$5:$F$15,1)</f>
        <v>7</v>
      </c>
      <c r="D5" s="73"/>
      <c r="E5" s="71">
        <f>COUNTIFS('DOSSIER TECHNIQUE M2'!$G$5:$G$38,3)+COUNTIFS('VIDEO M1 &amp; M2'!$F$5:$F$15,3)</f>
        <v>4</v>
      </c>
      <c r="F5" s="71">
        <f>COUNTIFS('DOSSIER TECHNIQUE M2'!$G$5:$G$38,4)+COUNTIFS('VIDEO M1 &amp; M2'!$F$5:$F$15,4)</f>
        <v>8</v>
      </c>
      <c r="G5" s="71">
        <f>COUNTIFS('DOSSIER TECHNIQUE M2'!$G$5:$G$38,5)+COUNTIFS('VIDEO M1 &amp; M2'!$F$5:$F$15,5)</f>
        <v>5</v>
      </c>
    </row>
    <row r="6" spans="1:7" ht="31.2">
      <c r="A6" s="69" t="s">
        <v>118</v>
      </c>
      <c r="B6" s="71">
        <f>COUNTIFS('DOSSIER TECHNIQUE M2'!$H$5:$H$38,1)+COUNTIFS('VIDEO M1 &amp; M2'!$G$5:$G$15,1)</f>
        <v>9</v>
      </c>
      <c r="C6" s="71">
        <f>COUNTIFS('DOSSIER TECHNIQUE M2'!$H$5:$H$38,2)+COUNTIFS('VIDEO M1 &amp; M2'!$G$5:$G$15,2)</f>
        <v>22</v>
      </c>
      <c r="D6" s="73"/>
      <c r="E6" s="71">
        <f>COUNTIFS('DOSSIER TECHNIQUE M2'!$H$5:$H$38,3)+COUNTIFS('VIDEO M1 &amp; M2'!$G$5:$G$15,3)</f>
        <v>2</v>
      </c>
      <c r="F6" s="71">
        <f>COUNTIFS('DOSSIER TECHNIQUE M2'!$H$5:$H$38,4)+COUNTIFS('VIDEO M1 &amp; M2'!$G$5:$G$15,4)</f>
        <v>3</v>
      </c>
      <c r="G6" s="71">
        <f>COUNTIFS('DOSSIER TECHNIQUE M2'!$H$5:$H$38,5)+COUNTIFS('VIDEO M1 &amp; M2'!$G$5:$G$15,5)</f>
        <v>3</v>
      </c>
    </row>
    <row r="7" spans="1:7" ht="31.2">
      <c r="A7" s="69" t="s">
        <v>119</v>
      </c>
      <c r="B7" s="71">
        <f>COUNTIFS('DOSSIER TECHNIQUE M2'!$I$5:$I$38,1)+COUNTIFS('VIDEO M1 &amp; M2'!$H$5:$H$15,1)</f>
        <v>8</v>
      </c>
      <c r="C7" s="71">
        <f>COUNTIFS('DOSSIER TECHNIQUE M2'!$I$5:$I$38,2)+COUNTIFS('VIDEO M1 &amp; M2'!$H$5:$H$15,2)</f>
        <v>10</v>
      </c>
      <c r="D7" s="73"/>
      <c r="E7" s="71">
        <f>COUNTIFS('DOSSIER TECHNIQUE M2'!$I$5:$I$38,3)+COUNTIFS('VIDEO M1 &amp; M2'!$H$5:$H$15,3)</f>
        <v>14</v>
      </c>
      <c r="F7" s="71">
        <f>COUNTIFS('DOSSIER TECHNIQUE M2'!$I$5:$I$38,4)+COUNTIFS('VIDEO M1 &amp; M2'!$H$5:$H$15,4)</f>
        <v>6</v>
      </c>
      <c r="G7" s="7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4E40D-F959-3847-8CE0-64C5119224EC}">
  <sheetPr codeName="Feuil2"/>
  <dimension ref="A1:G62"/>
  <sheetViews>
    <sheetView topLeftCell="A3" zoomScale="70" zoomScaleNormal="70" workbookViewId="0">
      <selection activeCell="B11" sqref="B11:S11"/>
    </sheetView>
  </sheetViews>
  <sheetFormatPr baseColWidth="10" defaultColWidth="11" defaultRowHeight="15.6"/>
  <cols>
    <col min="1" max="1" width="137.5" bestFit="1" customWidth="1"/>
    <col min="2" max="2" width="9" bestFit="1" customWidth="1"/>
    <col min="3" max="3" width="12.5" bestFit="1" customWidth="1"/>
    <col min="6" max="6" width="33" bestFit="1" customWidth="1"/>
    <col min="7" max="7" width="24.59765625" bestFit="1" customWidth="1"/>
  </cols>
  <sheetData>
    <row r="1" spans="1:7">
      <c r="F1" s="8"/>
      <c r="G1" s="8"/>
    </row>
    <row r="2" spans="1:7">
      <c r="D2" t="s">
        <v>209</v>
      </c>
      <c r="E2" t="s">
        <v>210</v>
      </c>
      <c r="F2" s="35" t="s">
        <v>52</v>
      </c>
      <c r="G2" s="34"/>
    </row>
    <row r="3" spans="1:7" ht="16.2" thickBot="1">
      <c r="F3" s="35" t="s">
        <v>211</v>
      </c>
      <c r="G3" s="34"/>
    </row>
    <row r="4" spans="1:7" ht="23.4" thickBot="1">
      <c r="A4" s="12" t="s">
        <v>212</v>
      </c>
      <c r="B4" s="13"/>
      <c r="C4" s="14"/>
      <c r="F4" s="35" t="s">
        <v>213</v>
      </c>
      <c r="G4" s="34" t="s">
        <v>214</v>
      </c>
    </row>
    <row r="5" spans="1:7" ht="21.6" thickBot="1">
      <c r="A5" s="3"/>
      <c r="C5" s="4"/>
    </row>
    <row r="6" spans="1:7">
      <c r="A6" s="15" t="s">
        <v>50</v>
      </c>
      <c r="B6" s="16" t="s">
        <v>51</v>
      </c>
      <c r="C6" s="17" t="s">
        <v>215</v>
      </c>
    </row>
    <row r="7" spans="1:7">
      <c r="A7" s="18" t="s">
        <v>216</v>
      </c>
      <c r="B7" s="36">
        <v>5</v>
      </c>
      <c r="C7" s="37">
        <v>10</v>
      </c>
      <c r="D7">
        <v>0</v>
      </c>
    </row>
    <row r="8" spans="1:7">
      <c r="A8" s="18" t="s">
        <v>217</v>
      </c>
      <c r="B8" s="36">
        <v>4</v>
      </c>
      <c r="C8" s="37">
        <v>10</v>
      </c>
      <c r="D8">
        <v>0</v>
      </c>
    </row>
    <row r="9" spans="1:7">
      <c r="A9" s="18" t="s">
        <v>218</v>
      </c>
      <c r="B9" s="36">
        <v>10</v>
      </c>
      <c r="C9" s="37">
        <v>10</v>
      </c>
      <c r="D9">
        <v>0</v>
      </c>
    </row>
    <row r="10" spans="1:7">
      <c r="A10" s="18" t="s">
        <v>219</v>
      </c>
      <c r="B10" s="36">
        <v>5</v>
      </c>
      <c r="C10" s="37">
        <v>5</v>
      </c>
      <c r="D10">
        <v>1</v>
      </c>
    </row>
    <row r="11" spans="1:7">
      <c r="A11" s="18" t="s">
        <v>220</v>
      </c>
      <c r="B11" s="36">
        <v>5</v>
      </c>
      <c r="C11" s="37">
        <v>5</v>
      </c>
      <c r="D11">
        <v>0</v>
      </c>
    </row>
    <row r="12" spans="1:7">
      <c r="A12" s="18" t="s">
        <v>221</v>
      </c>
      <c r="B12" s="36">
        <v>5</v>
      </c>
      <c r="C12" s="37">
        <v>5</v>
      </c>
      <c r="D12">
        <v>1</v>
      </c>
    </row>
    <row r="13" spans="1:7">
      <c r="A13" s="18" t="s">
        <v>222</v>
      </c>
      <c r="B13" s="36">
        <v>3</v>
      </c>
      <c r="C13" s="37">
        <v>3</v>
      </c>
      <c r="D13">
        <v>0</v>
      </c>
    </row>
    <row r="14" spans="1:7" ht="16.2" thickBot="1">
      <c r="A14" s="20" t="s">
        <v>223</v>
      </c>
      <c r="B14" s="36">
        <v>2</v>
      </c>
      <c r="C14" s="38">
        <v>2</v>
      </c>
      <c r="D14">
        <v>0</v>
      </c>
    </row>
    <row r="15" spans="1:7" ht="16.2" thickBot="1">
      <c r="A15" s="5"/>
      <c r="C15" s="4"/>
    </row>
    <row r="16" spans="1:7" ht="21.6" thickBot="1">
      <c r="A16" s="39" t="s">
        <v>224</v>
      </c>
      <c r="B16" s="27">
        <f>SUM(B7:B14)</f>
        <v>39</v>
      </c>
      <c r="C16" s="10"/>
    </row>
    <row r="17" spans="1:4" ht="21.6" thickBot="1">
      <c r="A17" s="26" t="s">
        <v>225</v>
      </c>
      <c r="B17" s="28">
        <v>0.5</v>
      </c>
      <c r="C17" s="23"/>
    </row>
    <row r="18" spans="1:4" ht="16.2" thickBot="1"/>
    <row r="19" spans="1:4" ht="23.4" thickBot="1">
      <c r="A19" s="12" t="s">
        <v>226</v>
      </c>
      <c r="B19" s="13"/>
      <c r="C19" s="14"/>
    </row>
    <row r="20" spans="1:4" ht="21.6" thickBot="1">
      <c r="A20" s="3"/>
      <c r="C20" s="4"/>
    </row>
    <row r="21" spans="1:4">
      <c r="A21" s="15" t="s">
        <v>50</v>
      </c>
      <c r="B21" s="16" t="s">
        <v>51</v>
      </c>
      <c r="C21" s="17" t="s">
        <v>215</v>
      </c>
    </row>
    <row r="22" spans="1:4">
      <c r="A22" s="18" t="s">
        <v>126</v>
      </c>
      <c r="B22" s="36">
        <v>10</v>
      </c>
      <c r="C22" s="37">
        <v>10</v>
      </c>
      <c r="D22">
        <v>1</v>
      </c>
    </row>
    <row r="23" spans="1:4">
      <c r="A23" s="18" t="s">
        <v>128</v>
      </c>
      <c r="B23" s="36">
        <v>10</v>
      </c>
      <c r="C23" s="37">
        <v>10</v>
      </c>
      <c r="D23">
        <v>1</v>
      </c>
    </row>
    <row r="24" spans="1:4">
      <c r="A24" s="18" t="s">
        <v>129</v>
      </c>
      <c r="B24" s="36">
        <v>10</v>
      </c>
      <c r="C24" s="37">
        <v>10</v>
      </c>
      <c r="D24">
        <v>1</v>
      </c>
    </row>
    <row r="25" spans="1:4">
      <c r="A25" s="18" t="s">
        <v>130</v>
      </c>
      <c r="B25" s="36">
        <v>5</v>
      </c>
      <c r="C25" s="37">
        <v>5</v>
      </c>
      <c r="D25">
        <v>1</v>
      </c>
    </row>
    <row r="26" spans="1:4">
      <c r="A26" s="18" t="s">
        <v>131</v>
      </c>
      <c r="B26" s="36">
        <v>5</v>
      </c>
      <c r="C26" s="37">
        <v>5</v>
      </c>
      <c r="D26">
        <v>1</v>
      </c>
    </row>
    <row r="27" spans="1:4">
      <c r="A27" s="18" t="s">
        <v>133</v>
      </c>
      <c r="B27" s="36">
        <v>5</v>
      </c>
      <c r="C27" s="37">
        <v>5</v>
      </c>
      <c r="D27">
        <v>2</v>
      </c>
    </row>
    <row r="28" spans="1:4">
      <c r="A28" s="18" t="s">
        <v>134</v>
      </c>
      <c r="B28" s="36">
        <v>5</v>
      </c>
      <c r="C28" s="37">
        <v>5</v>
      </c>
      <c r="D28">
        <v>1</v>
      </c>
    </row>
    <row r="29" spans="1:4" ht="16.2" thickBot="1">
      <c r="A29" s="20"/>
      <c r="B29" s="36">
        <v>0</v>
      </c>
      <c r="C29" s="38">
        <v>0</v>
      </c>
      <c r="D29">
        <v>1</v>
      </c>
    </row>
    <row r="30" spans="1:4" ht="16.2" thickBot="1">
      <c r="A30" s="5"/>
      <c r="C30" s="4"/>
    </row>
    <row r="31" spans="1:4" ht="21.6" thickBot="1">
      <c r="A31" s="39" t="s">
        <v>224</v>
      </c>
      <c r="B31" s="27">
        <f>SUM(B22:B29)</f>
        <v>50</v>
      </c>
      <c r="C31" s="9">
        <f>SUM(C22:C29)</f>
        <v>50</v>
      </c>
    </row>
    <row r="32" spans="1:4" ht="21.6" thickBot="1">
      <c r="A32" s="26" t="s">
        <v>225</v>
      </c>
      <c r="B32" s="28">
        <v>0.5</v>
      </c>
      <c r="C32" s="23"/>
    </row>
    <row r="33" spans="1:4" ht="23.4" thickBot="1">
      <c r="A33" s="12" t="s">
        <v>227</v>
      </c>
      <c r="B33" s="13"/>
      <c r="C33" s="14"/>
    </row>
    <row r="34" spans="1:4" ht="16.2" thickBot="1">
      <c r="A34" s="25"/>
      <c r="B34" s="13"/>
      <c r="C34" s="14"/>
    </row>
    <row r="35" spans="1:4" ht="21">
      <c r="A35" s="3"/>
      <c r="C35" s="4"/>
    </row>
    <row r="36" spans="1:4">
      <c r="A36" s="7" t="s">
        <v>50</v>
      </c>
      <c r="B36" s="7" t="s">
        <v>51</v>
      </c>
      <c r="C36" s="7" t="s">
        <v>215</v>
      </c>
    </row>
    <row r="37" spans="1:4">
      <c r="A37" s="7" t="s">
        <v>228</v>
      </c>
      <c r="B37" s="36">
        <v>10</v>
      </c>
      <c r="C37" s="7">
        <v>10</v>
      </c>
      <c r="D37">
        <v>1</v>
      </c>
    </row>
    <row r="38" spans="1:4">
      <c r="A38" s="7" t="s">
        <v>157</v>
      </c>
      <c r="B38" s="36">
        <v>10</v>
      </c>
      <c r="C38" s="7">
        <v>10</v>
      </c>
      <c r="D38">
        <v>1</v>
      </c>
    </row>
    <row r="39" spans="1:4">
      <c r="A39" s="7" t="s">
        <v>159</v>
      </c>
      <c r="B39" s="36">
        <v>10</v>
      </c>
      <c r="C39" s="7">
        <v>10</v>
      </c>
      <c r="D39">
        <v>3</v>
      </c>
    </row>
    <row r="40" spans="1:4">
      <c r="A40" s="7" t="s">
        <v>229</v>
      </c>
      <c r="B40" s="36">
        <v>5</v>
      </c>
      <c r="C40" s="7">
        <v>5</v>
      </c>
      <c r="D40">
        <v>1</v>
      </c>
    </row>
    <row r="41" spans="1:4">
      <c r="A41" s="7" t="s">
        <v>230</v>
      </c>
      <c r="B41" s="36">
        <v>5</v>
      </c>
      <c r="C41" s="7">
        <v>5</v>
      </c>
      <c r="D41">
        <v>2</v>
      </c>
    </row>
    <row r="42" spans="1:4">
      <c r="A42" s="7" t="s">
        <v>160</v>
      </c>
      <c r="B42" s="36">
        <v>5</v>
      </c>
      <c r="C42" s="7">
        <v>5</v>
      </c>
      <c r="D42">
        <v>2</v>
      </c>
    </row>
    <row r="43" spans="1:4">
      <c r="A43" s="7" t="s">
        <v>161</v>
      </c>
      <c r="B43" s="36">
        <v>5</v>
      </c>
      <c r="C43" s="7">
        <v>5</v>
      </c>
      <c r="D43">
        <v>2</v>
      </c>
    </row>
    <row r="44" spans="1:4">
      <c r="A44" s="24" t="s">
        <v>231</v>
      </c>
      <c r="B44" s="36"/>
      <c r="C44" s="7"/>
    </row>
    <row r="45" spans="1:4" ht="16.2" thickBot="1">
      <c r="A45" s="5" t="s">
        <v>232</v>
      </c>
      <c r="B45" s="36"/>
      <c r="C45" s="7"/>
    </row>
    <row r="46" spans="1:4" ht="21.6" thickBot="1">
      <c r="A46" s="39" t="s">
        <v>224</v>
      </c>
      <c r="B46" s="27">
        <f>SUM(B36:B45)</f>
        <v>50</v>
      </c>
      <c r="C46" s="9">
        <f>SUM(C37:C45)</f>
        <v>50</v>
      </c>
    </row>
    <row r="47" spans="1:4" ht="21.6" thickBot="1">
      <c r="A47" s="26" t="s">
        <v>233</v>
      </c>
      <c r="B47" s="28">
        <v>0.3</v>
      </c>
      <c r="C47" s="23"/>
    </row>
    <row r="48" spans="1:4" ht="16.2" thickBot="1">
      <c r="A48" s="5"/>
      <c r="C48" s="4"/>
    </row>
    <row r="49" spans="1:7" ht="23.4" thickBot="1">
      <c r="A49" s="12" t="s">
        <v>234</v>
      </c>
      <c r="B49" s="13"/>
      <c r="C49" s="14"/>
    </row>
    <row r="50" spans="1:7" ht="21.6" thickBot="1">
      <c r="A50" s="3"/>
      <c r="C50" s="4"/>
    </row>
    <row r="51" spans="1:7">
      <c r="A51" s="15" t="s">
        <v>50</v>
      </c>
      <c r="B51" s="16" t="s">
        <v>51</v>
      </c>
      <c r="C51" s="17" t="s">
        <v>215</v>
      </c>
    </row>
    <row r="52" spans="1:7">
      <c r="A52" s="18" t="s">
        <v>135</v>
      </c>
      <c r="B52" s="40">
        <v>10</v>
      </c>
      <c r="C52" s="19">
        <v>10</v>
      </c>
      <c r="D52">
        <v>3</v>
      </c>
    </row>
    <row r="53" spans="1:7">
      <c r="A53" s="18" t="s">
        <v>235</v>
      </c>
      <c r="B53" s="40">
        <v>10</v>
      </c>
      <c r="C53" s="19">
        <v>10</v>
      </c>
      <c r="D53">
        <v>3</v>
      </c>
    </row>
    <row r="54" spans="1:7">
      <c r="A54" s="18" t="s">
        <v>141</v>
      </c>
      <c r="B54" s="40">
        <v>10</v>
      </c>
      <c r="C54" s="37">
        <v>10</v>
      </c>
    </row>
    <row r="55" spans="1:7">
      <c r="A55" s="18" t="s">
        <v>142</v>
      </c>
      <c r="B55" s="40">
        <v>5</v>
      </c>
      <c r="C55" s="37">
        <v>5</v>
      </c>
    </row>
    <row r="56" spans="1:7">
      <c r="A56" s="18" t="s">
        <v>144</v>
      </c>
      <c r="B56" s="40">
        <v>5</v>
      </c>
      <c r="C56" s="37">
        <v>5</v>
      </c>
    </row>
    <row r="57" spans="1:7">
      <c r="A57" s="18" t="s">
        <v>236</v>
      </c>
      <c r="B57" s="40">
        <v>5</v>
      </c>
      <c r="C57" s="37">
        <v>5</v>
      </c>
    </row>
    <row r="58" spans="1:7">
      <c r="A58" s="18" t="s">
        <v>80</v>
      </c>
      <c r="B58" s="40">
        <v>3</v>
      </c>
      <c r="C58" s="37">
        <v>3</v>
      </c>
    </row>
    <row r="59" spans="1:7" ht="16.2" thickBot="1">
      <c r="A59" s="20" t="s">
        <v>74</v>
      </c>
      <c r="B59" s="45">
        <v>2</v>
      </c>
      <c r="C59" s="38">
        <v>2</v>
      </c>
    </row>
    <row r="60" spans="1:7" ht="21.6" thickBot="1">
      <c r="A60" s="5"/>
      <c r="C60" s="4"/>
      <c r="F60" s="41" t="s">
        <v>164</v>
      </c>
      <c r="G60" s="21">
        <f>B$16+B$31</f>
        <v>89</v>
      </c>
    </row>
    <row r="61" spans="1:7" ht="21.6" thickBot="1">
      <c r="A61" s="42" t="s">
        <v>224</v>
      </c>
      <c r="B61" s="1">
        <f>SUM(B52:B59)</f>
        <v>50</v>
      </c>
      <c r="C61" s="2">
        <f>SUM(C52:C59)</f>
        <v>50</v>
      </c>
      <c r="F61" s="43" t="s">
        <v>165</v>
      </c>
      <c r="G61" s="22">
        <f>((B46*B47)+(B61*B62))*2</f>
        <v>100</v>
      </c>
    </row>
    <row r="62" spans="1:7" ht="21.6" thickBot="1">
      <c r="A62" s="11" t="s">
        <v>233</v>
      </c>
      <c r="B62" s="28">
        <v>0.7</v>
      </c>
      <c r="C62" s="6"/>
      <c r="F62" s="44" t="s">
        <v>166</v>
      </c>
      <c r="G62" s="43">
        <f>(((G$60*20)/100)+(G61*80/100))/5</f>
        <v>19.559999999999999</v>
      </c>
    </row>
  </sheetData>
  <dataValidations count="6">
    <dataValidation type="decimal" allowBlank="1" showInputMessage="1" showErrorMessage="1" sqref="F9" xr:uid="{C8D5B69C-2721-4842-BD63-C23018EF56F0}">
      <formula1>0</formula1>
      <formula2>15</formula2>
    </dataValidation>
    <dataValidation type="list" showInputMessage="1" showErrorMessage="1" sqref="B55:B57" xr:uid="{774F1D97-0C6D-4151-85C7-AE6A976EE704}">
      <formula1>"0,1,2,3,4,5"</formula1>
    </dataValidation>
    <dataValidation type="list" allowBlank="1" showInputMessage="1" showErrorMessage="1" sqref="B58" xr:uid="{40BC6734-32C5-459A-A743-FFC0597D6BD6}">
      <formula1>"0,1,2,3"</formula1>
    </dataValidation>
    <dataValidation type="list" showInputMessage="1" showErrorMessage="1" sqref="B59" xr:uid="{0BDB419B-7C1F-4556-B362-239806CFA9CB}">
      <formula1>"0,1,2"</formula1>
    </dataValidation>
    <dataValidation type="list" showInputMessage="1" showErrorMessage="1" sqref="B52:B54" xr:uid="{A0F64CD2-DD96-4B0E-9F36-A139F438A28F}">
      <formula1>"0,1,2,3,4,5,6,7,8,9,10"</formula1>
    </dataValidation>
    <dataValidation showInputMessage="1" showErrorMessage="1" sqref="G4:G5" xr:uid="{1887C990-5FB6-E345-98CC-6322942656BE}"/>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30C77-16D9-DA47-8110-583194E7A481}">
  <sheetPr codeName="Feuil5"/>
  <dimension ref="A1:K765"/>
  <sheetViews>
    <sheetView zoomScale="114" zoomScaleNormal="50" workbookViewId="0">
      <selection activeCell="M8" sqref="M8"/>
    </sheetView>
  </sheetViews>
  <sheetFormatPr baseColWidth="10" defaultColWidth="11" defaultRowHeight="15.6"/>
  <cols>
    <col min="1" max="1" width="36.19921875" bestFit="1" customWidth="1"/>
    <col min="2" max="2" width="17" bestFit="1" customWidth="1"/>
    <col min="3" max="3" width="39.19921875" bestFit="1" customWidth="1"/>
    <col min="4" max="4" width="7.59765625" bestFit="1" customWidth="1"/>
    <col min="5" max="5" width="21.19921875" bestFit="1" customWidth="1"/>
    <col min="6" max="6" width="15.09765625" customWidth="1"/>
    <col min="7" max="7" width="12.5" hidden="1" customWidth="1"/>
    <col min="8" max="8" width="9.09765625" hidden="1" customWidth="1"/>
    <col min="9" max="9" width="17.69921875" hidden="1" customWidth="1"/>
    <col min="10" max="10" width="5.09765625" hidden="1" customWidth="1"/>
    <col min="11" max="11" width="20.69921875" hidden="1" customWidth="1"/>
    <col min="12" max="12" width="0" hidden="1" customWidth="1"/>
  </cols>
  <sheetData>
    <row r="1" spans="1:11">
      <c r="A1" s="30" t="s">
        <v>28</v>
      </c>
      <c r="B1" s="30" t="s">
        <v>29</v>
      </c>
      <c r="C1" s="30" t="s">
        <v>237</v>
      </c>
      <c r="D1" s="30" t="s">
        <v>238</v>
      </c>
      <c r="E1" s="30" t="s">
        <v>239</v>
      </c>
      <c r="G1" s="30"/>
      <c r="H1" s="30"/>
      <c r="I1" s="30"/>
      <c r="J1" s="30"/>
      <c r="K1" s="30"/>
    </row>
    <row r="2" spans="1:11">
      <c r="A2" s="31" t="s">
        <v>240</v>
      </c>
      <c r="B2" s="31" t="s">
        <v>241</v>
      </c>
      <c r="C2" s="31" t="str">
        <f>_xlfn.CONCAT(A2, " ",B2)</f>
        <v>ABAAKIL Mariya</v>
      </c>
      <c r="D2" s="31" t="s">
        <v>242</v>
      </c>
      <c r="E2" s="31" t="s">
        <v>243</v>
      </c>
      <c r="G2" t="s">
        <v>244</v>
      </c>
      <c r="H2" t="s">
        <v>245</v>
      </c>
      <c r="I2" t="s">
        <v>246</v>
      </c>
      <c r="J2" t="s">
        <v>242</v>
      </c>
      <c r="K2" t="s">
        <v>247</v>
      </c>
    </row>
    <row r="3" spans="1:11">
      <c r="A3" s="31" t="s">
        <v>248</v>
      </c>
      <c r="B3" s="31" t="s">
        <v>249</v>
      </c>
      <c r="C3" s="31" t="str">
        <f t="shared" ref="C3:C66" si="0">_xlfn.CONCAT(A3, " ",B3)</f>
        <v>ABBADI RYAN</v>
      </c>
      <c r="D3" s="31" t="s">
        <v>242</v>
      </c>
      <c r="E3" s="31" t="s">
        <v>250</v>
      </c>
      <c r="G3" t="s">
        <v>251</v>
      </c>
      <c r="H3" t="s">
        <v>252</v>
      </c>
      <c r="I3" t="s">
        <v>253</v>
      </c>
      <c r="J3" t="s">
        <v>242</v>
      </c>
      <c r="K3" t="s">
        <v>247</v>
      </c>
    </row>
    <row r="4" spans="1:11">
      <c r="A4" s="31" t="s">
        <v>254</v>
      </c>
      <c r="B4" s="31" t="s">
        <v>255</v>
      </c>
      <c r="C4" s="31" t="str">
        <f t="shared" si="0"/>
        <v>ABDOU El Amine</v>
      </c>
      <c r="D4" s="31" t="s">
        <v>242</v>
      </c>
      <c r="E4" s="31" t="s">
        <v>256</v>
      </c>
      <c r="G4" t="s">
        <v>257</v>
      </c>
      <c r="H4" t="s">
        <v>258</v>
      </c>
      <c r="I4" t="s">
        <v>0</v>
      </c>
      <c r="J4" t="s">
        <v>242</v>
      </c>
      <c r="K4" t="s">
        <v>247</v>
      </c>
    </row>
    <row r="5" spans="1:11">
      <c r="A5" s="31" t="s">
        <v>259</v>
      </c>
      <c r="B5" s="31" t="s">
        <v>260</v>
      </c>
      <c r="C5" s="31" t="str">
        <f t="shared" si="0"/>
        <v>ABDULLAH Gudoos</v>
      </c>
      <c r="D5" s="31" t="s">
        <v>242</v>
      </c>
      <c r="E5" s="31" t="s">
        <v>261</v>
      </c>
      <c r="G5" t="s">
        <v>262</v>
      </c>
      <c r="H5" t="s">
        <v>263</v>
      </c>
      <c r="I5" t="s">
        <v>264</v>
      </c>
      <c r="J5" t="s">
        <v>242</v>
      </c>
      <c r="K5" t="s">
        <v>247</v>
      </c>
    </row>
    <row r="6" spans="1:11">
      <c r="A6" s="31" t="s">
        <v>265</v>
      </c>
      <c r="B6" s="31" t="s">
        <v>266</v>
      </c>
      <c r="C6" s="31" t="str">
        <f t="shared" si="0"/>
        <v>ABIDAR Younes</v>
      </c>
      <c r="D6" s="31" t="s">
        <v>242</v>
      </c>
      <c r="E6" s="31" t="s">
        <v>267</v>
      </c>
      <c r="G6" t="s">
        <v>268</v>
      </c>
      <c r="H6" t="s">
        <v>269</v>
      </c>
      <c r="I6" t="s">
        <v>3</v>
      </c>
      <c r="J6" t="s">
        <v>242</v>
      </c>
      <c r="K6" t="s">
        <v>247</v>
      </c>
    </row>
    <row r="7" spans="1:11">
      <c r="A7" s="31" t="s">
        <v>270</v>
      </c>
      <c r="B7" s="31" t="s">
        <v>271</v>
      </c>
      <c r="C7" s="31" t="str">
        <f t="shared" si="0"/>
        <v>ABIRAM Raveendran</v>
      </c>
      <c r="D7" s="31" t="s">
        <v>242</v>
      </c>
      <c r="E7" s="31" t="s">
        <v>267</v>
      </c>
      <c r="G7" t="s">
        <v>272</v>
      </c>
      <c r="H7" t="s">
        <v>273</v>
      </c>
      <c r="I7" t="s">
        <v>274</v>
      </c>
      <c r="J7" t="s">
        <v>242</v>
      </c>
      <c r="K7" t="s">
        <v>247</v>
      </c>
    </row>
    <row r="8" spans="1:11">
      <c r="A8" s="31" t="s">
        <v>275</v>
      </c>
      <c r="B8" s="31" t="s">
        <v>276</v>
      </c>
      <c r="C8" s="31" t="str">
        <f t="shared" si="0"/>
        <v>ABOU TOIHIRY Houssain</v>
      </c>
      <c r="D8" s="31" t="s">
        <v>242</v>
      </c>
      <c r="E8" s="31" t="s">
        <v>277</v>
      </c>
      <c r="G8" t="s">
        <v>278</v>
      </c>
      <c r="H8" t="s">
        <v>279</v>
      </c>
      <c r="I8" t="s">
        <v>280</v>
      </c>
      <c r="J8" t="s">
        <v>242</v>
      </c>
      <c r="K8" t="s">
        <v>247</v>
      </c>
    </row>
    <row r="9" spans="1:11">
      <c r="A9" s="31" t="s">
        <v>281</v>
      </c>
      <c r="B9" s="31" t="s">
        <v>282</v>
      </c>
      <c r="C9" s="31" t="str">
        <f t="shared" si="0"/>
        <v>ABRAHAM Lucas</v>
      </c>
      <c r="D9" s="31" t="s">
        <v>242</v>
      </c>
      <c r="E9" s="31" t="s">
        <v>283</v>
      </c>
      <c r="G9" t="s">
        <v>284</v>
      </c>
      <c r="H9" t="s">
        <v>285</v>
      </c>
      <c r="I9" t="s">
        <v>286</v>
      </c>
      <c r="J9" t="s">
        <v>242</v>
      </c>
      <c r="K9" t="s">
        <v>247</v>
      </c>
    </row>
    <row r="10" spans="1:11">
      <c r="A10" s="31" t="s">
        <v>287</v>
      </c>
      <c r="B10" s="31" t="s">
        <v>288</v>
      </c>
      <c r="C10" s="31" t="str">
        <f t="shared" si="0"/>
        <v>ACERBIS Loris</v>
      </c>
      <c r="D10" s="31" t="s">
        <v>242</v>
      </c>
      <c r="E10" s="31" t="s">
        <v>289</v>
      </c>
      <c r="G10" t="s">
        <v>290</v>
      </c>
      <c r="H10" t="s">
        <v>291</v>
      </c>
      <c r="I10" t="s">
        <v>6</v>
      </c>
      <c r="J10" t="s">
        <v>242</v>
      </c>
      <c r="K10" t="s">
        <v>247</v>
      </c>
    </row>
    <row r="11" spans="1:11">
      <c r="A11" s="31" t="s">
        <v>244</v>
      </c>
      <c r="B11" s="31" t="s">
        <v>245</v>
      </c>
      <c r="C11" s="31" t="str">
        <f t="shared" si="0"/>
        <v>ACHOUR Sarah</v>
      </c>
      <c r="D11" s="31" t="s">
        <v>242</v>
      </c>
      <c r="E11" s="31" t="s">
        <v>247</v>
      </c>
      <c r="G11" t="s">
        <v>292</v>
      </c>
      <c r="H11" t="s">
        <v>293</v>
      </c>
      <c r="I11" t="s">
        <v>294</v>
      </c>
      <c r="J11" t="s">
        <v>242</v>
      </c>
      <c r="K11" t="s">
        <v>247</v>
      </c>
    </row>
    <row r="12" spans="1:11">
      <c r="A12" s="31" t="s">
        <v>295</v>
      </c>
      <c r="B12" s="31" t="s">
        <v>296</v>
      </c>
      <c r="C12" s="31" t="str">
        <f t="shared" si="0"/>
        <v>ACOINE Mounir</v>
      </c>
      <c r="D12" s="31" t="s">
        <v>242</v>
      </c>
      <c r="E12" s="31" t="s">
        <v>297</v>
      </c>
      <c r="G12" t="s">
        <v>298</v>
      </c>
      <c r="H12" t="s">
        <v>299</v>
      </c>
      <c r="I12" t="s">
        <v>300</v>
      </c>
      <c r="J12" t="s">
        <v>242</v>
      </c>
      <c r="K12" t="s">
        <v>247</v>
      </c>
    </row>
    <row r="13" spans="1:11">
      <c r="A13" s="31" t="s">
        <v>301</v>
      </c>
      <c r="B13" s="31" t="s">
        <v>302</v>
      </c>
      <c r="C13" s="31" t="str">
        <f t="shared" si="0"/>
        <v>ADA Emile Junior</v>
      </c>
      <c r="D13" s="31" t="s">
        <v>242</v>
      </c>
      <c r="E13" s="31" t="s">
        <v>243</v>
      </c>
      <c r="G13" t="s">
        <v>303</v>
      </c>
      <c r="H13" t="s">
        <v>304</v>
      </c>
      <c r="I13" t="s">
        <v>305</v>
      </c>
      <c r="J13" t="s">
        <v>242</v>
      </c>
      <c r="K13" t="s">
        <v>247</v>
      </c>
    </row>
    <row r="14" spans="1:11">
      <c r="A14" s="31" t="s">
        <v>306</v>
      </c>
      <c r="B14" s="31" t="s">
        <v>307</v>
      </c>
      <c r="C14" s="31" t="str">
        <f t="shared" si="0"/>
        <v>ADELIN Anoir</v>
      </c>
      <c r="D14" s="31" t="s">
        <v>242</v>
      </c>
      <c r="E14" s="31" t="s">
        <v>308</v>
      </c>
      <c r="G14" t="s">
        <v>309</v>
      </c>
      <c r="H14" t="s">
        <v>310</v>
      </c>
      <c r="I14" t="s">
        <v>311</v>
      </c>
      <c r="J14" t="s">
        <v>242</v>
      </c>
      <c r="K14" t="s">
        <v>247</v>
      </c>
    </row>
    <row r="15" spans="1:11">
      <c r="A15" s="31" t="s">
        <v>251</v>
      </c>
      <c r="B15" s="31" t="s">
        <v>252</v>
      </c>
      <c r="C15" s="31" t="str">
        <f t="shared" si="0"/>
        <v>ADOUKEDJA PETTRO Steven-Espoir</v>
      </c>
      <c r="D15" s="31" t="s">
        <v>242</v>
      </c>
      <c r="E15" s="31" t="s">
        <v>247</v>
      </c>
      <c r="G15" t="s">
        <v>312</v>
      </c>
      <c r="H15" t="s">
        <v>313</v>
      </c>
      <c r="I15" t="s">
        <v>314</v>
      </c>
      <c r="J15" t="s">
        <v>242</v>
      </c>
      <c r="K15" t="s">
        <v>247</v>
      </c>
    </row>
    <row r="16" spans="1:11">
      <c r="A16" s="31" t="s">
        <v>315</v>
      </c>
      <c r="B16" s="31" t="s">
        <v>316</v>
      </c>
      <c r="C16" s="31" t="str">
        <f t="shared" si="0"/>
        <v>AFARMACH Hakim</v>
      </c>
      <c r="D16" s="31" t="s">
        <v>242</v>
      </c>
      <c r="E16" s="31" t="s">
        <v>2</v>
      </c>
      <c r="G16" t="s">
        <v>317</v>
      </c>
      <c r="H16" t="s">
        <v>318</v>
      </c>
      <c r="I16" t="s">
        <v>319</v>
      </c>
      <c r="J16" t="s">
        <v>242</v>
      </c>
      <c r="K16" t="s">
        <v>247</v>
      </c>
    </row>
    <row r="17" spans="1:11">
      <c r="A17" s="31" t="s">
        <v>320</v>
      </c>
      <c r="B17" s="31" t="s">
        <v>321</v>
      </c>
      <c r="C17" s="31" t="str">
        <f t="shared" si="0"/>
        <v>AGONNOUDE Roger</v>
      </c>
      <c r="D17" s="31" t="s">
        <v>242</v>
      </c>
      <c r="E17" s="31" t="s">
        <v>250</v>
      </c>
      <c r="G17" t="s">
        <v>322</v>
      </c>
      <c r="H17" t="s">
        <v>323</v>
      </c>
      <c r="I17" t="s">
        <v>324</v>
      </c>
      <c r="J17" t="s">
        <v>242</v>
      </c>
      <c r="K17" t="s">
        <v>247</v>
      </c>
    </row>
    <row r="18" spans="1:11">
      <c r="A18" s="31" t="s">
        <v>325</v>
      </c>
      <c r="B18" s="31" t="s">
        <v>326</v>
      </c>
      <c r="C18" s="31" t="str">
        <f t="shared" si="0"/>
        <v>AH YOUNE Yannick</v>
      </c>
      <c r="D18" s="31" t="s">
        <v>242</v>
      </c>
      <c r="E18" s="31" t="s">
        <v>261</v>
      </c>
      <c r="G18" t="s">
        <v>327</v>
      </c>
      <c r="H18" t="s">
        <v>328</v>
      </c>
      <c r="I18" t="s">
        <v>329</v>
      </c>
      <c r="J18" t="s">
        <v>242</v>
      </c>
      <c r="K18" t="s">
        <v>247</v>
      </c>
    </row>
    <row r="19" spans="1:11">
      <c r="A19" s="31" t="s">
        <v>330</v>
      </c>
      <c r="B19" s="31" t="s">
        <v>331</v>
      </c>
      <c r="C19" s="31" t="str">
        <f t="shared" si="0"/>
        <v>AHAMADOU KABIR Mohamed</v>
      </c>
      <c r="D19" s="31" t="s">
        <v>242</v>
      </c>
      <c r="E19" s="31" t="s">
        <v>332</v>
      </c>
      <c r="G19" t="s">
        <v>333</v>
      </c>
      <c r="H19" t="s">
        <v>334</v>
      </c>
      <c r="I19" t="s">
        <v>335</v>
      </c>
      <c r="J19" t="s">
        <v>242</v>
      </c>
      <c r="K19" t="s">
        <v>247</v>
      </c>
    </row>
    <row r="20" spans="1:11">
      <c r="A20" s="31" t="s">
        <v>336</v>
      </c>
      <c r="B20" s="31" t="s">
        <v>337</v>
      </c>
      <c r="C20" s="31" t="str">
        <f t="shared" si="0"/>
        <v>AHMED MUBASHAR</v>
      </c>
      <c r="D20" s="31" t="s">
        <v>242</v>
      </c>
      <c r="E20" s="31" t="s">
        <v>338</v>
      </c>
      <c r="G20" t="s">
        <v>339</v>
      </c>
      <c r="H20" t="s">
        <v>340</v>
      </c>
      <c r="I20" t="s">
        <v>341</v>
      </c>
      <c r="J20" t="s">
        <v>242</v>
      </c>
      <c r="K20" t="s">
        <v>247</v>
      </c>
    </row>
    <row r="21" spans="1:11">
      <c r="A21" s="31" t="s">
        <v>342</v>
      </c>
      <c r="B21" s="31" t="s">
        <v>343</v>
      </c>
      <c r="C21" s="31" t="str">
        <f t="shared" si="0"/>
        <v>AINAS Nabil</v>
      </c>
      <c r="D21" s="31" t="s">
        <v>242</v>
      </c>
      <c r="E21" s="31" t="s">
        <v>2</v>
      </c>
      <c r="G21" t="s">
        <v>344</v>
      </c>
      <c r="H21" t="s">
        <v>331</v>
      </c>
      <c r="I21" t="s">
        <v>345</v>
      </c>
      <c r="J21" t="s">
        <v>242</v>
      </c>
      <c r="K21" t="s">
        <v>247</v>
      </c>
    </row>
    <row r="22" spans="1:11">
      <c r="A22" s="31" t="s">
        <v>346</v>
      </c>
      <c r="B22" s="31" t="s">
        <v>347</v>
      </c>
      <c r="C22" s="31" t="str">
        <f t="shared" si="0"/>
        <v>AKIN Betul</v>
      </c>
      <c r="D22" s="31" t="s">
        <v>242</v>
      </c>
      <c r="E22" s="31" t="s">
        <v>348</v>
      </c>
      <c r="G22" t="s">
        <v>349</v>
      </c>
      <c r="H22" t="s">
        <v>350</v>
      </c>
      <c r="I22" t="s">
        <v>351</v>
      </c>
      <c r="J22" t="s">
        <v>242</v>
      </c>
      <c r="K22" t="s">
        <v>247</v>
      </c>
    </row>
    <row r="23" spans="1:11">
      <c r="A23" s="31" t="s">
        <v>352</v>
      </c>
      <c r="B23" s="31" t="s">
        <v>353</v>
      </c>
      <c r="C23" s="31" t="str">
        <f t="shared" si="0"/>
        <v>AKMAN Ramazan</v>
      </c>
      <c r="D23" s="31" t="s">
        <v>242</v>
      </c>
      <c r="E23" s="31" t="s">
        <v>354</v>
      </c>
      <c r="G23" t="s">
        <v>355</v>
      </c>
      <c r="H23" t="s">
        <v>356</v>
      </c>
      <c r="I23" t="s">
        <v>357</v>
      </c>
      <c r="J23" t="s">
        <v>242</v>
      </c>
      <c r="K23" t="s">
        <v>247</v>
      </c>
    </row>
    <row r="24" spans="1:11">
      <c r="A24" s="31" t="s">
        <v>358</v>
      </c>
      <c r="B24" s="31" t="s">
        <v>359</v>
      </c>
      <c r="C24" s="31" t="str">
        <f t="shared" si="0"/>
        <v>AL ESTWANI Abdulrahman</v>
      </c>
      <c r="D24" s="31" t="s">
        <v>242</v>
      </c>
      <c r="E24" s="31" t="s">
        <v>360</v>
      </c>
      <c r="G24" t="s">
        <v>361</v>
      </c>
      <c r="H24" s="31" t="s">
        <v>362</v>
      </c>
      <c r="I24" t="s">
        <v>363</v>
      </c>
      <c r="J24" t="s">
        <v>242</v>
      </c>
      <c r="K24" t="s">
        <v>247</v>
      </c>
    </row>
    <row r="25" spans="1:11">
      <c r="A25" s="31" t="s">
        <v>364</v>
      </c>
      <c r="B25" s="31" t="s">
        <v>365</v>
      </c>
      <c r="C25" s="31" t="str">
        <f t="shared" si="0"/>
        <v>AL FATNI Yassin</v>
      </c>
      <c r="D25" s="31" t="s">
        <v>242</v>
      </c>
      <c r="E25" s="31" t="s">
        <v>2</v>
      </c>
      <c r="G25" t="s">
        <v>366</v>
      </c>
      <c r="H25" t="s">
        <v>367</v>
      </c>
      <c r="I25" t="s">
        <v>368</v>
      </c>
      <c r="J25" t="s">
        <v>242</v>
      </c>
      <c r="K25" t="s">
        <v>247</v>
      </c>
    </row>
    <row r="26" spans="1:11">
      <c r="A26" s="31" t="s">
        <v>369</v>
      </c>
      <c r="B26" s="31" t="s">
        <v>370</v>
      </c>
      <c r="C26" s="31" t="str">
        <f>_xlfn.CONCAT(A26, " ",B26)</f>
        <v>ALARCON Tom</v>
      </c>
      <c r="D26" s="31" t="s">
        <v>242</v>
      </c>
      <c r="E26" s="31" t="s">
        <v>371</v>
      </c>
      <c r="G26" t="s">
        <v>372</v>
      </c>
      <c r="H26" t="s">
        <v>373</v>
      </c>
      <c r="I26" t="s">
        <v>374</v>
      </c>
      <c r="J26" t="s">
        <v>242</v>
      </c>
      <c r="K26" t="s">
        <v>247</v>
      </c>
    </row>
    <row r="27" spans="1:11">
      <c r="A27" s="31" t="s">
        <v>375</v>
      </c>
      <c r="B27" s="31" t="s">
        <v>376</v>
      </c>
      <c r="C27" s="31" t="str">
        <f t="shared" si="0"/>
        <v>ALAVO AMOUSSOUKPEVI Anicson Derrick</v>
      </c>
      <c r="D27" s="31" t="s">
        <v>242</v>
      </c>
      <c r="E27" s="31" t="s">
        <v>377</v>
      </c>
      <c r="G27" t="s">
        <v>378</v>
      </c>
      <c r="H27" t="s">
        <v>379</v>
      </c>
      <c r="I27" t="s">
        <v>380</v>
      </c>
      <c r="J27" t="s">
        <v>242</v>
      </c>
      <c r="K27" t="s">
        <v>247</v>
      </c>
    </row>
    <row r="28" spans="1:11">
      <c r="A28" s="31" t="s">
        <v>381</v>
      </c>
      <c r="B28" s="31" t="s">
        <v>382</v>
      </c>
      <c r="C28" s="31" t="str">
        <f t="shared" si="0"/>
        <v>ALBARICO Marjorie</v>
      </c>
      <c r="D28" s="31" t="s">
        <v>242</v>
      </c>
      <c r="E28" s="31" t="s">
        <v>383</v>
      </c>
      <c r="G28" t="s">
        <v>384</v>
      </c>
      <c r="H28" t="s">
        <v>385</v>
      </c>
      <c r="I28" t="s">
        <v>386</v>
      </c>
      <c r="J28" t="s">
        <v>242</v>
      </c>
      <c r="K28" t="s">
        <v>247</v>
      </c>
    </row>
    <row r="29" spans="1:11">
      <c r="A29" s="31" t="s">
        <v>387</v>
      </c>
      <c r="B29" s="31" t="s">
        <v>388</v>
      </c>
      <c r="C29" s="31" t="str">
        <f t="shared" si="0"/>
        <v>ALBAYRAK Mikail</v>
      </c>
      <c r="D29" s="31" t="s">
        <v>242</v>
      </c>
      <c r="E29" s="31" t="s">
        <v>389</v>
      </c>
      <c r="G29" t="s">
        <v>390</v>
      </c>
      <c r="H29" t="s">
        <v>391</v>
      </c>
      <c r="I29" t="s">
        <v>392</v>
      </c>
      <c r="J29" t="s">
        <v>242</v>
      </c>
      <c r="K29" t="s">
        <v>247</v>
      </c>
    </row>
    <row r="30" spans="1:11">
      <c r="A30" s="31" t="s">
        <v>393</v>
      </c>
      <c r="B30" s="31" t="s">
        <v>394</v>
      </c>
      <c r="C30" s="31" t="str">
        <f t="shared" si="0"/>
        <v>ALERTE Benjamin</v>
      </c>
      <c r="D30" s="31" t="s">
        <v>242</v>
      </c>
      <c r="E30" s="31" t="s">
        <v>395</v>
      </c>
    </row>
    <row r="31" spans="1:11">
      <c r="A31" s="31" t="s">
        <v>396</v>
      </c>
      <c r="B31" s="31" t="s">
        <v>397</v>
      </c>
      <c r="C31" s="31" t="str">
        <f t="shared" si="0"/>
        <v>ALIKER Quentin</v>
      </c>
      <c r="D31" s="31" t="s">
        <v>242</v>
      </c>
      <c r="E31" s="31" t="s">
        <v>243</v>
      </c>
    </row>
    <row r="32" spans="1:11">
      <c r="A32" s="31" t="s">
        <v>257</v>
      </c>
      <c r="B32" s="31" t="s">
        <v>258</v>
      </c>
      <c r="C32" s="31" t="str">
        <f t="shared" si="0"/>
        <v>ALITI Syrine</v>
      </c>
      <c r="D32" s="31" t="s">
        <v>242</v>
      </c>
      <c r="E32" s="31" t="s">
        <v>247</v>
      </c>
    </row>
    <row r="33" spans="1:5">
      <c r="A33" s="31" t="s">
        <v>398</v>
      </c>
      <c r="B33" s="31" t="s">
        <v>399</v>
      </c>
      <c r="C33" s="31" t="str">
        <f t="shared" si="0"/>
        <v>ALLEM Akli</v>
      </c>
      <c r="D33" s="31" t="s">
        <v>242</v>
      </c>
      <c r="E33" s="31" t="s">
        <v>297</v>
      </c>
    </row>
    <row r="34" spans="1:5">
      <c r="A34" s="31" t="s">
        <v>400</v>
      </c>
      <c r="B34" s="31" t="s">
        <v>401</v>
      </c>
      <c r="C34" s="31" t="str">
        <f t="shared" si="0"/>
        <v>ALLIOUI Meriem</v>
      </c>
      <c r="D34" s="31" t="s">
        <v>242</v>
      </c>
      <c r="E34" s="31" t="s">
        <v>308</v>
      </c>
    </row>
    <row r="35" spans="1:5">
      <c r="A35" s="31" t="s">
        <v>262</v>
      </c>
      <c r="B35" s="31" t="s">
        <v>263</v>
      </c>
      <c r="C35" s="31" t="str">
        <f t="shared" si="0"/>
        <v>ALTUNEL Huseyin-Bora</v>
      </c>
      <c r="D35" s="31" t="s">
        <v>242</v>
      </c>
      <c r="E35" s="31" t="s">
        <v>247</v>
      </c>
    </row>
    <row r="36" spans="1:5">
      <c r="A36" s="31" t="s">
        <v>402</v>
      </c>
      <c r="B36" s="31" t="s">
        <v>403</v>
      </c>
      <c r="C36" s="31" t="str">
        <f t="shared" si="0"/>
        <v>AMARA Bilal</v>
      </c>
      <c r="D36" s="31" t="s">
        <v>242</v>
      </c>
      <c r="E36" s="31" t="s">
        <v>389</v>
      </c>
    </row>
    <row r="37" spans="1:5">
      <c r="A37" s="31" t="s">
        <v>404</v>
      </c>
      <c r="B37" s="31" t="s">
        <v>405</v>
      </c>
      <c r="C37" s="31" t="str">
        <f t="shared" si="0"/>
        <v>AMRAOUI Achraf</v>
      </c>
      <c r="D37" s="31" t="s">
        <v>242</v>
      </c>
      <c r="E37" s="31" t="s">
        <v>406</v>
      </c>
    </row>
    <row r="38" spans="1:5">
      <c r="A38" s="31" t="s">
        <v>407</v>
      </c>
      <c r="B38" s="31" t="s">
        <v>408</v>
      </c>
      <c r="C38" s="31" t="str">
        <f t="shared" si="0"/>
        <v>AMROUCHE Fatima</v>
      </c>
      <c r="D38" s="31" t="s">
        <v>242</v>
      </c>
      <c r="E38" s="31" t="s">
        <v>338</v>
      </c>
    </row>
    <row r="39" spans="1:5">
      <c r="A39" s="31" t="s">
        <v>409</v>
      </c>
      <c r="B39" s="31" t="s">
        <v>285</v>
      </c>
      <c r="C39" s="31" t="str">
        <f t="shared" si="0"/>
        <v>ANDRECK Thomas</v>
      </c>
      <c r="D39" s="31" t="s">
        <v>242</v>
      </c>
      <c r="E39" s="31" t="s">
        <v>395</v>
      </c>
    </row>
    <row r="40" spans="1:5">
      <c r="A40" s="31" t="s">
        <v>410</v>
      </c>
      <c r="B40" s="31" t="s">
        <v>411</v>
      </c>
      <c r="C40" s="31" t="str">
        <f t="shared" si="0"/>
        <v>ANDRIAMIHAJA Rhidine</v>
      </c>
      <c r="D40" s="31" t="s">
        <v>242</v>
      </c>
      <c r="E40" s="31" t="s">
        <v>412</v>
      </c>
    </row>
    <row r="41" spans="1:5">
      <c r="A41" s="31" t="s">
        <v>413</v>
      </c>
      <c r="B41" s="31" t="s">
        <v>414</v>
      </c>
      <c r="C41" s="31" t="str">
        <f t="shared" si="0"/>
        <v>ANG Gian</v>
      </c>
      <c r="D41" s="31" t="s">
        <v>242</v>
      </c>
      <c r="E41" s="31" t="s">
        <v>360</v>
      </c>
    </row>
    <row r="42" spans="1:5">
      <c r="A42" s="31" t="s">
        <v>413</v>
      </c>
      <c r="B42" s="31" t="s">
        <v>415</v>
      </c>
      <c r="C42" s="31" t="str">
        <f t="shared" si="0"/>
        <v>ANG Billy</v>
      </c>
      <c r="D42" s="31" t="s">
        <v>242</v>
      </c>
      <c r="E42" s="31" t="s">
        <v>371</v>
      </c>
    </row>
    <row r="43" spans="1:5">
      <c r="A43" s="31" t="s">
        <v>416</v>
      </c>
      <c r="B43" s="31" t="s">
        <v>417</v>
      </c>
      <c r="C43" s="31" t="str">
        <f t="shared" si="0"/>
        <v>ANGLOMA Wesley</v>
      </c>
      <c r="D43" s="31" t="s">
        <v>242</v>
      </c>
      <c r="E43" s="31" t="s">
        <v>418</v>
      </c>
    </row>
    <row r="44" spans="1:5">
      <c r="A44" s="31" t="s">
        <v>419</v>
      </c>
      <c r="B44" s="31" t="s">
        <v>420</v>
      </c>
      <c r="C44" s="31" t="str">
        <f t="shared" si="0"/>
        <v>ANTHONIPILLAI Jackson</v>
      </c>
      <c r="D44" s="31" t="s">
        <v>242</v>
      </c>
      <c r="E44" s="31" t="s">
        <v>377</v>
      </c>
    </row>
    <row r="45" spans="1:5">
      <c r="A45" s="31" t="s">
        <v>421</v>
      </c>
      <c r="B45" s="31" t="s">
        <v>422</v>
      </c>
      <c r="C45" s="31" t="str">
        <f t="shared" si="0"/>
        <v>ANTREASSIAN Hugo</v>
      </c>
      <c r="D45" s="31" t="s">
        <v>242</v>
      </c>
      <c r="E45" s="31" t="s">
        <v>338</v>
      </c>
    </row>
    <row r="46" spans="1:5">
      <c r="A46" s="31" t="s">
        <v>423</v>
      </c>
      <c r="B46" s="31" t="s">
        <v>424</v>
      </c>
      <c r="C46" s="31" t="str">
        <f t="shared" si="0"/>
        <v>ARJOCA Adrian</v>
      </c>
      <c r="D46" s="31" t="s">
        <v>242</v>
      </c>
      <c r="E46" s="31" t="s">
        <v>354</v>
      </c>
    </row>
    <row r="47" spans="1:5">
      <c r="A47" s="31" t="s">
        <v>425</v>
      </c>
      <c r="B47" s="31" t="s">
        <v>245</v>
      </c>
      <c r="C47" s="31" t="str">
        <f t="shared" si="0"/>
        <v>ASSAM Sarah</v>
      </c>
      <c r="D47" s="31" t="s">
        <v>242</v>
      </c>
      <c r="E47" s="31" t="s">
        <v>383</v>
      </c>
    </row>
    <row r="48" spans="1:5">
      <c r="A48" s="31" t="s">
        <v>426</v>
      </c>
      <c r="B48" s="31" t="s">
        <v>427</v>
      </c>
      <c r="C48" s="31" t="str">
        <f t="shared" si="0"/>
        <v>ASSAS Hamza</v>
      </c>
      <c r="D48" s="31" t="s">
        <v>242</v>
      </c>
      <c r="E48" s="31" t="s">
        <v>261</v>
      </c>
    </row>
    <row r="49" spans="1:5">
      <c r="A49" s="31" t="s">
        <v>428</v>
      </c>
      <c r="B49" s="31" t="s">
        <v>429</v>
      </c>
      <c r="C49" s="31" t="str">
        <f t="shared" si="0"/>
        <v>ASSELIN Mathis</v>
      </c>
      <c r="D49" s="31" t="s">
        <v>242</v>
      </c>
      <c r="E49" s="31" t="s">
        <v>289</v>
      </c>
    </row>
    <row r="50" spans="1:5">
      <c r="A50" s="31" t="s">
        <v>430</v>
      </c>
      <c r="B50" s="31" t="s">
        <v>431</v>
      </c>
      <c r="C50" s="31" t="str">
        <f t="shared" si="0"/>
        <v>ASSOUMANI Hachim</v>
      </c>
      <c r="D50" s="31" t="s">
        <v>242</v>
      </c>
      <c r="E50" s="31" t="s">
        <v>432</v>
      </c>
    </row>
    <row r="51" spans="1:5">
      <c r="A51" s="31" t="s">
        <v>433</v>
      </c>
      <c r="B51" s="31" t="s">
        <v>434</v>
      </c>
      <c r="C51" s="31" t="str">
        <f t="shared" si="0"/>
        <v>ATTAL Meyer</v>
      </c>
      <c r="D51" s="31" t="s">
        <v>242</v>
      </c>
      <c r="E51" s="31" t="s">
        <v>332</v>
      </c>
    </row>
    <row r="52" spans="1:5">
      <c r="A52" s="31" t="s">
        <v>435</v>
      </c>
      <c r="B52" s="31" t="s">
        <v>37</v>
      </c>
      <c r="C52" s="31" t="str">
        <f t="shared" si="0"/>
        <v>AWAD Marc</v>
      </c>
      <c r="D52" s="31" t="s">
        <v>242</v>
      </c>
      <c r="E52" s="31" t="s">
        <v>277</v>
      </c>
    </row>
    <row r="53" spans="1:5">
      <c r="A53" s="31" t="s">
        <v>436</v>
      </c>
      <c r="B53" s="31" t="s">
        <v>437</v>
      </c>
      <c r="C53" s="31" t="str">
        <f t="shared" si="0"/>
        <v>AZIRAR Othmane</v>
      </c>
      <c r="D53" s="31" t="s">
        <v>242</v>
      </c>
      <c r="E53" s="31" t="s">
        <v>406</v>
      </c>
    </row>
    <row r="54" spans="1:5">
      <c r="A54" s="31" t="s">
        <v>438</v>
      </c>
      <c r="B54" s="31" t="s">
        <v>331</v>
      </c>
      <c r="C54" s="31" t="str">
        <f t="shared" si="0"/>
        <v>AZIZI Mohamed</v>
      </c>
      <c r="D54" s="31" t="s">
        <v>242</v>
      </c>
      <c r="E54" s="31" t="s">
        <v>354</v>
      </c>
    </row>
    <row r="55" spans="1:5">
      <c r="A55" s="31" t="s">
        <v>439</v>
      </c>
      <c r="B55" s="31" t="s">
        <v>440</v>
      </c>
      <c r="C55" s="31" t="str">
        <f t="shared" si="0"/>
        <v>AZOUZI Radouane</v>
      </c>
      <c r="D55" s="31" t="s">
        <v>242</v>
      </c>
      <c r="E55" s="31" t="s">
        <v>250</v>
      </c>
    </row>
    <row r="56" spans="1:5">
      <c r="A56" s="31" t="s">
        <v>441</v>
      </c>
      <c r="B56" s="31" t="s">
        <v>442</v>
      </c>
      <c r="C56" s="31" t="str">
        <f t="shared" si="0"/>
        <v>BAAROUN Ahmed</v>
      </c>
      <c r="D56" s="31" t="s">
        <v>242</v>
      </c>
      <c r="E56" s="31" t="s">
        <v>443</v>
      </c>
    </row>
    <row r="57" spans="1:5">
      <c r="A57" s="31" t="s">
        <v>444</v>
      </c>
      <c r="B57" s="31" t="s">
        <v>445</v>
      </c>
      <c r="C57" s="31" t="str">
        <f t="shared" si="0"/>
        <v>BABACI Nassim</v>
      </c>
      <c r="D57" s="31" t="s">
        <v>242</v>
      </c>
      <c r="E57" s="31" t="s">
        <v>446</v>
      </c>
    </row>
    <row r="58" spans="1:5">
      <c r="A58" s="31" t="s">
        <v>447</v>
      </c>
      <c r="B58" s="31" t="s">
        <v>448</v>
      </c>
      <c r="C58" s="31" t="str">
        <f t="shared" si="0"/>
        <v>BACHELLE Axel</v>
      </c>
      <c r="D58" s="31" t="s">
        <v>242</v>
      </c>
      <c r="E58" s="31" t="s">
        <v>289</v>
      </c>
    </row>
    <row r="59" spans="1:5">
      <c r="A59" s="31" t="s">
        <v>449</v>
      </c>
      <c r="B59" s="31" t="s">
        <v>450</v>
      </c>
      <c r="C59" s="31" t="str">
        <f t="shared" si="0"/>
        <v>BAGANA Wassim</v>
      </c>
      <c r="D59" s="31" t="s">
        <v>242</v>
      </c>
      <c r="E59" s="31" t="s">
        <v>451</v>
      </c>
    </row>
    <row r="60" spans="1:5">
      <c r="A60" s="31" t="s">
        <v>452</v>
      </c>
      <c r="B60" s="31" t="s">
        <v>453</v>
      </c>
      <c r="C60" s="31" t="str">
        <f t="shared" si="0"/>
        <v>BALANDISSA DIANZINGA Hirche Jaime</v>
      </c>
      <c r="D60" s="31" t="s">
        <v>242</v>
      </c>
      <c r="E60" s="31" t="s">
        <v>454</v>
      </c>
    </row>
    <row r="61" spans="1:5">
      <c r="A61" s="31" t="s">
        <v>455</v>
      </c>
      <c r="B61" s="31" t="s">
        <v>456</v>
      </c>
      <c r="C61" s="31" t="str">
        <f t="shared" si="0"/>
        <v>BALDOCCHI Adrien</v>
      </c>
      <c r="D61" s="31" t="s">
        <v>242</v>
      </c>
      <c r="E61" s="31" t="s">
        <v>267</v>
      </c>
    </row>
    <row r="62" spans="1:5">
      <c r="A62" s="31" t="s">
        <v>457</v>
      </c>
      <c r="B62" s="31" t="s">
        <v>458</v>
      </c>
      <c r="C62" s="31" t="str">
        <f t="shared" si="0"/>
        <v>BALOUP Clément</v>
      </c>
      <c r="D62" s="31" t="s">
        <v>242</v>
      </c>
      <c r="E62" s="31" t="s">
        <v>371</v>
      </c>
    </row>
    <row r="63" spans="1:5">
      <c r="A63" s="31" t="s">
        <v>459</v>
      </c>
      <c r="B63" s="31" t="s">
        <v>460</v>
      </c>
      <c r="C63" s="31" t="str">
        <f t="shared" si="0"/>
        <v>BAMBA Souhaliho</v>
      </c>
      <c r="D63" s="31" t="s">
        <v>242</v>
      </c>
      <c r="E63" s="31" t="s">
        <v>277</v>
      </c>
    </row>
    <row r="64" spans="1:5">
      <c r="A64" s="31" t="s">
        <v>461</v>
      </c>
      <c r="B64" s="31" t="s">
        <v>462</v>
      </c>
      <c r="C64" s="31" t="str">
        <f t="shared" si="0"/>
        <v>BANDOKI Karl</v>
      </c>
      <c r="D64" s="31" t="s">
        <v>242</v>
      </c>
      <c r="E64" s="31" t="s">
        <v>418</v>
      </c>
    </row>
    <row r="65" spans="1:5">
      <c r="A65" s="31" t="s">
        <v>463</v>
      </c>
      <c r="B65" s="31" t="s">
        <v>464</v>
      </c>
      <c r="C65" s="31" t="str">
        <f t="shared" si="0"/>
        <v>BANZOUZI Dilou</v>
      </c>
      <c r="D65" s="31" t="s">
        <v>242</v>
      </c>
      <c r="E65" s="31" t="s">
        <v>348</v>
      </c>
    </row>
    <row r="66" spans="1:5">
      <c r="A66" s="31" t="s">
        <v>465</v>
      </c>
      <c r="B66" s="31" t="s">
        <v>466</v>
      </c>
      <c r="C66" s="31" t="str">
        <f t="shared" si="0"/>
        <v>BARDAN Mircea-Calin</v>
      </c>
      <c r="D66" s="31" t="s">
        <v>242</v>
      </c>
      <c r="E66" s="31" t="s">
        <v>243</v>
      </c>
    </row>
    <row r="67" spans="1:5">
      <c r="A67" s="31" t="s">
        <v>467</v>
      </c>
      <c r="B67" s="31" t="s">
        <v>468</v>
      </c>
      <c r="C67" s="31" t="str">
        <f t="shared" ref="C67:C130" si="1">_xlfn.CONCAT(A67, " ",B67)</f>
        <v>BARRAS Evan</v>
      </c>
      <c r="D67" s="31" t="s">
        <v>242</v>
      </c>
      <c r="E67" s="31" t="s">
        <v>332</v>
      </c>
    </row>
    <row r="68" spans="1:5">
      <c r="A68" s="31" t="s">
        <v>469</v>
      </c>
      <c r="B68" s="31" t="s">
        <v>470</v>
      </c>
      <c r="C68" s="31" t="str">
        <f t="shared" si="1"/>
        <v>BARTHELEMY Kylian</v>
      </c>
      <c r="D68" s="31" t="s">
        <v>242</v>
      </c>
      <c r="E68" s="31" t="s">
        <v>250</v>
      </c>
    </row>
    <row r="69" spans="1:5">
      <c r="A69" s="31" t="s">
        <v>471</v>
      </c>
      <c r="B69" s="31" t="s">
        <v>472</v>
      </c>
      <c r="C69" s="31" t="str">
        <f t="shared" si="1"/>
        <v>BASRIRE Azdine</v>
      </c>
      <c r="D69" s="31" t="s">
        <v>242</v>
      </c>
      <c r="E69" s="31" t="s">
        <v>267</v>
      </c>
    </row>
    <row r="70" spans="1:5">
      <c r="A70" s="31" t="s">
        <v>473</v>
      </c>
      <c r="B70" s="31" t="s">
        <v>474</v>
      </c>
      <c r="C70" s="31" t="str">
        <f t="shared" si="1"/>
        <v>BASSENE Jean-Christophe</v>
      </c>
      <c r="D70" s="31" t="s">
        <v>242</v>
      </c>
      <c r="E70" s="31" t="s">
        <v>443</v>
      </c>
    </row>
    <row r="71" spans="1:5">
      <c r="A71" s="31" t="s">
        <v>475</v>
      </c>
      <c r="B71" s="31" t="s">
        <v>362</v>
      </c>
      <c r="C71" s="31" t="str">
        <f t="shared" si="1"/>
        <v>BEAUCIQUOT Loïc</v>
      </c>
      <c r="D71" s="31" t="s">
        <v>242</v>
      </c>
      <c r="E71" s="31" t="s">
        <v>354</v>
      </c>
    </row>
    <row r="72" spans="1:5">
      <c r="A72" s="31" t="s">
        <v>476</v>
      </c>
      <c r="B72" s="31" t="s">
        <v>477</v>
      </c>
      <c r="C72" s="31" t="str">
        <f t="shared" si="1"/>
        <v>BEAUFILS-VANNIER Amélie</v>
      </c>
      <c r="D72" s="31" t="s">
        <v>242</v>
      </c>
      <c r="E72" s="31" t="s">
        <v>283</v>
      </c>
    </row>
    <row r="73" spans="1:5">
      <c r="A73" s="31" t="s">
        <v>478</v>
      </c>
      <c r="B73" s="31" t="s">
        <v>479</v>
      </c>
      <c r="C73" s="31" t="str">
        <f t="shared" si="1"/>
        <v>BEL Jean Baptiste</v>
      </c>
      <c r="D73" s="31" t="s">
        <v>242</v>
      </c>
      <c r="E73" s="31" t="s">
        <v>418</v>
      </c>
    </row>
    <row r="74" spans="1:5">
      <c r="A74" s="31" t="s">
        <v>480</v>
      </c>
      <c r="B74" s="31" t="s">
        <v>481</v>
      </c>
      <c r="C74" s="31" t="str">
        <f t="shared" si="1"/>
        <v>BELBACHIR Ayoub</v>
      </c>
      <c r="D74" s="31" t="s">
        <v>242</v>
      </c>
      <c r="E74" s="31" t="s">
        <v>256</v>
      </c>
    </row>
    <row r="75" spans="1:5">
      <c r="A75" s="31" t="s">
        <v>482</v>
      </c>
      <c r="B75" s="31" t="s">
        <v>483</v>
      </c>
      <c r="C75" s="31" t="str">
        <f t="shared" si="1"/>
        <v>BELFERROUM Bilel</v>
      </c>
      <c r="D75" s="31" t="s">
        <v>242</v>
      </c>
      <c r="E75" s="31" t="s">
        <v>389</v>
      </c>
    </row>
    <row r="76" spans="1:5">
      <c r="A76" s="31" t="s">
        <v>268</v>
      </c>
      <c r="B76" s="31" t="s">
        <v>269</v>
      </c>
      <c r="C76" s="31" t="str">
        <f t="shared" si="1"/>
        <v>BELKACEMI Cylia</v>
      </c>
      <c r="D76" s="31" t="s">
        <v>242</v>
      </c>
      <c r="E76" s="31" t="s">
        <v>247</v>
      </c>
    </row>
    <row r="77" spans="1:5">
      <c r="A77" s="31" t="s">
        <v>484</v>
      </c>
      <c r="B77" s="31" t="s">
        <v>485</v>
      </c>
      <c r="C77" s="31" t="str">
        <f t="shared" si="1"/>
        <v>BELLEGUIE Mathieu</v>
      </c>
      <c r="D77" s="31" t="s">
        <v>242</v>
      </c>
      <c r="E77" s="31" t="s">
        <v>354</v>
      </c>
    </row>
    <row r="78" spans="1:5">
      <c r="A78" s="31" t="s">
        <v>486</v>
      </c>
      <c r="B78" s="31" t="s">
        <v>487</v>
      </c>
      <c r="C78" s="31" t="str">
        <f t="shared" si="1"/>
        <v>BEMBA Jovany</v>
      </c>
      <c r="D78" s="31" t="s">
        <v>242</v>
      </c>
      <c r="E78" s="31" t="s">
        <v>348</v>
      </c>
    </row>
    <row r="79" spans="1:5">
      <c r="A79" s="31" t="s">
        <v>488</v>
      </c>
      <c r="B79" s="31" t="s">
        <v>489</v>
      </c>
      <c r="C79" s="31" t="str">
        <f t="shared" si="1"/>
        <v>BEN AHMED Mohamed Dhia</v>
      </c>
      <c r="D79" s="31" t="s">
        <v>242</v>
      </c>
      <c r="E79" s="31" t="s">
        <v>377</v>
      </c>
    </row>
    <row r="80" spans="1:5">
      <c r="A80" s="31" t="s">
        <v>490</v>
      </c>
      <c r="B80" s="31" t="s">
        <v>491</v>
      </c>
      <c r="C80" s="31" t="str">
        <f t="shared" si="1"/>
        <v>BEN HAMADI Soumaya</v>
      </c>
      <c r="D80" s="31" t="s">
        <v>242</v>
      </c>
      <c r="E80" s="31" t="s">
        <v>377</v>
      </c>
    </row>
    <row r="81" spans="1:5">
      <c r="A81" s="31" t="s">
        <v>492</v>
      </c>
      <c r="B81" s="31" t="s">
        <v>331</v>
      </c>
      <c r="C81" s="31" t="str">
        <f t="shared" si="1"/>
        <v>BEN KHADDA Mohamed</v>
      </c>
      <c r="D81" s="31" t="s">
        <v>242</v>
      </c>
      <c r="E81" s="31" t="s">
        <v>377</v>
      </c>
    </row>
    <row r="82" spans="1:5">
      <c r="A82" s="31" t="s">
        <v>493</v>
      </c>
      <c r="B82" s="31" t="s">
        <v>494</v>
      </c>
      <c r="C82" s="31" t="str">
        <f t="shared" si="1"/>
        <v>BEN KHELIFA Mehdi</v>
      </c>
      <c r="D82" s="31" t="s">
        <v>242</v>
      </c>
      <c r="E82" s="31" t="s">
        <v>495</v>
      </c>
    </row>
    <row r="83" spans="1:5">
      <c r="A83" s="31" t="s">
        <v>496</v>
      </c>
      <c r="B83" s="31" t="s">
        <v>481</v>
      </c>
      <c r="C83" s="31" t="str">
        <f t="shared" si="1"/>
        <v>BEN RACHED Ayoub</v>
      </c>
      <c r="D83" s="31" t="s">
        <v>242</v>
      </c>
      <c r="E83" s="31" t="s">
        <v>261</v>
      </c>
    </row>
    <row r="84" spans="1:5">
      <c r="A84" s="31" t="s">
        <v>497</v>
      </c>
      <c r="B84" s="31" t="s">
        <v>498</v>
      </c>
      <c r="C84" s="31" t="str">
        <f t="shared" si="1"/>
        <v>BEN SOLTANE Sélim</v>
      </c>
      <c r="D84" s="31" t="s">
        <v>242</v>
      </c>
      <c r="E84" s="31" t="s">
        <v>354</v>
      </c>
    </row>
    <row r="85" spans="1:5">
      <c r="A85" s="31" t="s">
        <v>272</v>
      </c>
      <c r="B85" s="31" t="s">
        <v>273</v>
      </c>
      <c r="C85" s="31" t="str">
        <f t="shared" si="1"/>
        <v>BENAMER Aymen</v>
      </c>
      <c r="D85" s="31" t="s">
        <v>242</v>
      </c>
      <c r="E85" s="31" t="s">
        <v>247</v>
      </c>
    </row>
    <row r="86" spans="1:5">
      <c r="A86" s="31" t="s">
        <v>499</v>
      </c>
      <c r="B86" s="31" t="s">
        <v>500</v>
      </c>
      <c r="C86" s="31" t="str">
        <f t="shared" si="1"/>
        <v>BENAROCHE Laura</v>
      </c>
      <c r="D86" s="31" t="s">
        <v>242</v>
      </c>
      <c r="E86" s="31" t="s">
        <v>432</v>
      </c>
    </row>
    <row r="87" spans="1:5">
      <c r="A87" s="31" t="s">
        <v>501</v>
      </c>
      <c r="B87" s="31" t="s">
        <v>331</v>
      </c>
      <c r="C87" s="31" t="str">
        <f t="shared" si="1"/>
        <v>BENAZZA Mohamed</v>
      </c>
      <c r="D87" s="31" t="s">
        <v>242</v>
      </c>
      <c r="E87" s="31" t="s">
        <v>371</v>
      </c>
    </row>
    <row r="88" spans="1:5">
      <c r="A88" s="31" t="s">
        <v>502</v>
      </c>
      <c r="B88" s="31" t="s">
        <v>503</v>
      </c>
      <c r="C88" s="31" t="str">
        <f t="shared" si="1"/>
        <v>BENBOUREK Jillian</v>
      </c>
      <c r="D88" s="31" t="s">
        <v>242</v>
      </c>
      <c r="E88" s="31" t="s">
        <v>418</v>
      </c>
    </row>
    <row r="89" spans="1:5">
      <c r="A89" s="31" t="s">
        <v>504</v>
      </c>
      <c r="B89" s="31" t="s">
        <v>505</v>
      </c>
      <c r="C89" s="31" t="str">
        <f t="shared" si="1"/>
        <v>BENDRIS Mellina</v>
      </c>
      <c r="D89" s="31" t="s">
        <v>242</v>
      </c>
      <c r="E89" s="31" t="s">
        <v>395</v>
      </c>
    </row>
    <row r="90" spans="1:5">
      <c r="A90" s="31" t="s">
        <v>506</v>
      </c>
      <c r="B90" s="31" t="s">
        <v>507</v>
      </c>
      <c r="C90" s="31" t="str">
        <f t="shared" si="1"/>
        <v>BENHAMANA Kamel</v>
      </c>
      <c r="D90" s="31" t="s">
        <v>242</v>
      </c>
      <c r="E90" s="31" t="s">
        <v>418</v>
      </c>
    </row>
    <row r="91" spans="1:5">
      <c r="A91" s="31" t="s">
        <v>508</v>
      </c>
      <c r="B91" s="31" t="s">
        <v>509</v>
      </c>
      <c r="C91" s="31" t="str">
        <f t="shared" si="1"/>
        <v>BENIE Aya Aminata</v>
      </c>
      <c r="D91" s="31" t="s">
        <v>242</v>
      </c>
      <c r="E91" s="31" t="s">
        <v>283</v>
      </c>
    </row>
    <row r="92" spans="1:5">
      <c r="A92" s="31" t="s">
        <v>510</v>
      </c>
      <c r="B92" s="31" t="s">
        <v>511</v>
      </c>
      <c r="C92" s="31" t="str">
        <f t="shared" si="1"/>
        <v>BENMESSAOUD Sedik</v>
      </c>
      <c r="D92" s="31" t="s">
        <v>242</v>
      </c>
      <c r="E92" s="31" t="s">
        <v>383</v>
      </c>
    </row>
    <row r="93" spans="1:5">
      <c r="A93" s="31" t="s">
        <v>512</v>
      </c>
      <c r="B93" s="31" t="s">
        <v>513</v>
      </c>
      <c r="C93" s="31" t="str">
        <f t="shared" si="1"/>
        <v>BENNOUAR Madjid</v>
      </c>
      <c r="D93" s="31" t="s">
        <v>242</v>
      </c>
      <c r="E93" s="31" t="s">
        <v>451</v>
      </c>
    </row>
    <row r="94" spans="1:5">
      <c r="A94" s="31" t="s">
        <v>514</v>
      </c>
      <c r="B94" s="31" t="s">
        <v>515</v>
      </c>
      <c r="C94" s="31" t="str">
        <f t="shared" si="1"/>
        <v>BENTALEB Meryem</v>
      </c>
      <c r="D94" s="31" t="s">
        <v>242</v>
      </c>
      <c r="E94" s="31" t="s">
        <v>2</v>
      </c>
    </row>
    <row r="95" spans="1:5">
      <c r="A95" s="31" t="s">
        <v>516</v>
      </c>
      <c r="B95" s="31" t="s">
        <v>517</v>
      </c>
      <c r="C95" s="31" t="str">
        <f t="shared" si="1"/>
        <v>BENTAYEB Ryan</v>
      </c>
      <c r="D95" s="31" t="s">
        <v>242</v>
      </c>
      <c r="E95" s="31" t="s">
        <v>261</v>
      </c>
    </row>
    <row r="96" spans="1:5">
      <c r="A96" s="31" t="s">
        <v>518</v>
      </c>
      <c r="B96" s="31" t="s">
        <v>331</v>
      </c>
      <c r="C96" s="31" t="str">
        <f t="shared" si="1"/>
        <v>BENYAHYA Mohamed</v>
      </c>
      <c r="D96" s="31" t="s">
        <v>242</v>
      </c>
      <c r="E96" s="31" t="s">
        <v>383</v>
      </c>
    </row>
    <row r="97" spans="1:5">
      <c r="A97" s="31" t="s">
        <v>519</v>
      </c>
      <c r="B97" s="31" t="s">
        <v>520</v>
      </c>
      <c r="C97" s="31" t="str">
        <f t="shared" si="1"/>
        <v>BENYOUCEF Brahim</v>
      </c>
      <c r="D97" s="31" t="s">
        <v>242</v>
      </c>
      <c r="E97" s="31" t="s">
        <v>348</v>
      </c>
    </row>
    <row r="98" spans="1:5">
      <c r="A98" s="31" t="s">
        <v>521</v>
      </c>
      <c r="B98" s="31" t="s">
        <v>522</v>
      </c>
      <c r="C98" s="31" t="str">
        <f t="shared" si="1"/>
        <v>BERGER-TERRASSE Corentin</v>
      </c>
      <c r="D98" s="31" t="s">
        <v>242</v>
      </c>
      <c r="E98" s="31" t="s">
        <v>395</v>
      </c>
    </row>
    <row r="99" spans="1:5">
      <c r="A99" s="31" t="s">
        <v>523</v>
      </c>
      <c r="B99" s="31" t="s">
        <v>524</v>
      </c>
      <c r="C99" s="31" t="str">
        <f t="shared" si="1"/>
        <v>BERNIER Théo</v>
      </c>
      <c r="D99" s="31" t="s">
        <v>242</v>
      </c>
      <c r="E99" s="31" t="s">
        <v>261</v>
      </c>
    </row>
    <row r="100" spans="1:5">
      <c r="A100" s="31" t="s">
        <v>525</v>
      </c>
      <c r="B100" s="31" t="s">
        <v>526</v>
      </c>
      <c r="C100" s="31" t="str">
        <f t="shared" si="1"/>
        <v>BERRICHI Faiza</v>
      </c>
      <c r="D100" s="31" t="s">
        <v>242</v>
      </c>
      <c r="E100" s="31" t="s">
        <v>332</v>
      </c>
    </row>
    <row r="101" spans="1:5">
      <c r="A101" s="31" t="s">
        <v>525</v>
      </c>
      <c r="B101" s="31" t="s">
        <v>527</v>
      </c>
      <c r="C101" s="31" t="str">
        <f t="shared" si="1"/>
        <v>BERRICHI Zineddine</v>
      </c>
      <c r="D101" s="31" t="s">
        <v>242</v>
      </c>
      <c r="E101" s="31" t="s">
        <v>348</v>
      </c>
    </row>
    <row r="102" spans="1:5">
      <c r="A102" s="31" t="s">
        <v>528</v>
      </c>
      <c r="B102" s="31" t="s">
        <v>529</v>
      </c>
      <c r="C102" s="31" t="str">
        <f t="shared" si="1"/>
        <v>BHARDWAJ Manan</v>
      </c>
      <c r="D102" s="31" t="s">
        <v>242</v>
      </c>
      <c r="E102" s="31" t="s">
        <v>338</v>
      </c>
    </row>
    <row r="103" spans="1:5">
      <c r="A103" s="31" t="s">
        <v>530</v>
      </c>
      <c r="B103" s="31" t="s">
        <v>531</v>
      </c>
      <c r="C103" s="31" t="str">
        <f t="shared" si="1"/>
        <v>BHAVSAR Uday</v>
      </c>
      <c r="D103" s="31" t="s">
        <v>242</v>
      </c>
      <c r="E103" s="31" t="s">
        <v>338</v>
      </c>
    </row>
    <row r="104" spans="1:5">
      <c r="A104" s="31" t="s">
        <v>532</v>
      </c>
      <c r="B104" s="31" t="s">
        <v>533</v>
      </c>
      <c r="C104" s="31" t="str">
        <f t="shared" si="1"/>
        <v>BIANCO Matéo</v>
      </c>
      <c r="D104" s="31" t="s">
        <v>242</v>
      </c>
      <c r="E104" s="31" t="s">
        <v>377</v>
      </c>
    </row>
    <row r="105" spans="1:5">
      <c r="A105" s="31" t="s">
        <v>534</v>
      </c>
      <c r="B105" s="31" t="s">
        <v>535</v>
      </c>
      <c r="C105" s="31" t="str">
        <f t="shared" si="1"/>
        <v>BLIVI Fafa</v>
      </c>
      <c r="D105" s="31" t="s">
        <v>242</v>
      </c>
      <c r="E105" s="31" t="s">
        <v>536</v>
      </c>
    </row>
    <row r="106" spans="1:5">
      <c r="A106" s="31" t="s">
        <v>537</v>
      </c>
      <c r="B106" s="31" t="s">
        <v>538</v>
      </c>
      <c r="C106" s="31" t="str">
        <f t="shared" si="1"/>
        <v>BODIN Enzo</v>
      </c>
      <c r="D106" s="31" t="s">
        <v>242</v>
      </c>
      <c r="E106" s="31" t="s">
        <v>2</v>
      </c>
    </row>
    <row r="107" spans="1:5">
      <c r="A107" s="31" t="s">
        <v>539</v>
      </c>
      <c r="B107" s="31" t="s">
        <v>540</v>
      </c>
      <c r="C107" s="31" t="str">
        <f t="shared" si="1"/>
        <v>BOISEAUX Brendan</v>
      </c>
      <c r="D107" s="31" t="s">
        <v>242</v>
      </c>
      <c r="E107" s="31" t="s">
        <v>371</v>
      </c>
    </row>
    <row r="108" spans="1:5">
      <c r="A108" s="31" t="s">
        <v>541</v>
      </c>
      <c r="B108" s="31" t="s">
        <v>542</v>
      </c>
      <c r="C108" s="31" t="str">
        <f t="shared" si="1"/>
        <v>BOISSONNET Baptiste</v>
      </c>
      <c r="D108" s="31" t="s">
        <v>242</v>
      </c>
      <c r="E108" s="31" t="s">
        <v>243</v>
      </c>
    </row>
    <row r="109" spans="1:5">
      <c r="A109" s="31" t="s">
        <v>543</v>
      </c>
      <c r="B109" s="31" t="s">
        <v>544</v>
      </c>
      <c r="C109" s="31" t="str">
        <f t="shared" si="1"/>
        <v>BOITELLE Delphine</v>
      </c>
      <c r="D109" s="31" t="s">
        <v>242</v>
      </c>
      <c r="E109" s="31" t="s">
        <v>536</v>
      </c>
    </row>
    <row r="110" spans="1:5">
      <c r="A110" s="31" t="s">
        <v>545</v>
      </c>
      <c r="B110" s="31" t="s">
        <v>546</v>
      </c>
      <c r="C110" s="31" t="str">
        <f t="shared" si="1"/>
        <v>BONTEMPS Rishi</v>
      </c>
      <c r="D110" s="31" t="s">
        <v>242</v>
      </c>
      <c r="E110" s="31" t="s">
        <v>283</v>
      </c>
    </row>
    <row r="111" spans="1:5">
      <c r="A111" s="31" t="s">
        <v>547</v>
      </c>
      <c r="B111" s="31" t="s">
        <v>458</v>
      </c>
      <c r="C111" s="31" t="str">
        <f t="shared" si="1"/>
        <v>BOROWIEC Clément</v>
      </c>
      <c r="D111" s="31" t="s">
        <v>242</v>
      </c>
      <c r="E111" s="31" t="s">
        <v>389</v>
      </c>
    </row>
    <row r="112" spans="1:5">
      <c r="A112" s="31" t="s">
        <v>548</v>
      </c>
      <c r="B112" s="31" t="s">
        <v>549</v>
      </c>
      <c r="C112" s="31" t="str">
        <f t="shared" si="1"/>
        <v>BOSC Alice</v>
      </c>
      <c r="D112" s="31" t="s">
        <v>242</v>
      </c>
      <c r="E112" s="31" t="s">
        <v>256</v>
      </c>
    </row>
    <row r="113" spans="1:5">
      <c r="A113" s="31" t="s">
        <v>550</v>
      </c>
      <c r="B113" s="31" t="s">
        <v>551</v>
      </c>
      <c r="C113" s="31" t="str">
        <f t="shared" si="1"/>
        <v>BOSTON Vic-Ryan</v>
      </c>
      <c r="D113" s="31" t="s">
        <v>242</v>
      </c>
      <c r="E113" s="31" t="s">
        <v>289</v>
      </c>
    </row>
    <row r="114" spans="1:5">
      <c r="A114" s="31" t="s">
        <v>552</v>
      </c>
      <c r="B114" s="31" t="s">
        <v>553</v>
      </c>
      <c r="C114" s="31" t="str">
        <f t="shared" si="1"/>
        <v>BOUCHAM Younès</v>
      </c>
      <c r="D114" s="31" t="s">
        <v>242</v>
      </c>
      <c r="E114" s="31" t="s">
        <v>454</v>
      </c>
    </row>
    <row r="115" spans="1:5">
      <c r="A115" s="31" t="s">
        <v>554</v>
      </c>
      <c r="B115" s="31" t="s">
        <v>555</v>
      </c>
      <c r="C115" s="31" t="str">
        <f t="shared" si="1"/>
        <v>BOUHAFS Seyfeddine</v>
      </c>
      <c r="D115" s="31" t="s">
        <v>242</v>
      </c>
      <c r="E115" s="31" t="s">
        <v>454</v>
      </c>
    </row>
    <row r="116" spans="1:5">
      <c r="A116" s="31" t="s">
        <v>556</v>
      </c>
      <c r="B116" s="31" t="s">
        <v>557</v>
      </c>
      <c r="C116" s="31" t="str">
        <f t="shared" si="1"/>
        <v>BOUKHEROUBA--LAPIERRE Amine</v>
      </c>
      <c r="D116" s="31" t="s">
        <v>242</v>
      </c>
      <c r="E116" s="31" t="s">
        <v>308</v>
      </c>
    </row>
    <row r="117" spans="1:5">
      <c r="A117" s="31" t="s">
        <v>558</v>
      </c>
      <c r="B117" s="31" t="s">
        <v>559</v>
      </c>
      <c r="C117" s="31" t="str">
        <f t="shared" si="1"/>
        <v>BOULFRAD Samie</v>
      </c>
      <c r="D117" s="31" t="s">
        <v>242</v>
      </c>
      <c r="E117" s="31" t="s">
        <v>389</v>
      </c>
    </row>
    <row r="118" spans="1:5">
      <c r="A118" s="31" t="s">
        <v>560</v>
      </c>
      <c r="B118" s="31" t="s">
        <v>561</v>
      </c>
      <c r="C118" s="31" t="str">
        <f t="shared" si="1"/>
        <v>BOUMAZOUZI Amir</v>
      </c>
      <c r="D118" s="31" t="s">
        <v>242</v>
      </c>
      <c r="E118" s="31" t="s">
        <v>395</v>
      </c>
    </row>
    <row r="119" spans="1:5">
      <c r="A119" s="31" t="s">
        <v>562</v>
      </c>
      <c r="B119" s="31" t="s">
        <v>563</v>
      </c>
      <c r="C119" s="31" t="str">
        <f t="shared" si="1"/>
        <v>BOUMERTIT Liza</v>
      </c>
      <c r="D119" s="31" t="s">
        <v>242</v>
      </c>
      <c r="E119" s="31" t="s">
        <v>412</v>
      </c>
    </row>
    <row r="120" spans="1:5">
      <c r="A120" s="31" t="s">
        <v>564</v>
      </c>
      <c r="B120" s="31" t="s">
        <v>397</v>
      </c>
      <c r="C120" s="31" t="str">
        <f t="shared" si="1"/>
        <v>BOURDOIS Quentin</v>
      </c>
      <c r="D120" s="31" t="s">
        <v>242</v>
      </c>
      <c r="E120" s="31" t="s">
        <v>495</v>
      </c>
    </row>
    <row r="121" spans="1:5">
      <c r="A121" s="31" t="s">
        <v>565</v>
      </c>
      <c r="B121" s="31" t="s">
        <v>566</v>
      </c>
      <c r="C121" s="31" t="str">
        <f t="shared" si="1"/>
        <v>BOURENNANI Anis</v>
      </c>
      <c r="D121" s="31" t="s">
        <v>242</v>
      </c>
      <c r="E121" s="31" t="s">
        <v>383</v>
      </c>
    </row>
    <row r="122" spans="1:5">
      <c r="A122" s="31" t="s">
        <v>567</v>
      </c>
      <c r="B122" s="31" t="s">
        <v>568</v>
      </c>
      <c r="C122" s="31" t="str">
        <f t="shared" si="1"/>
        <v>BOUSSARI Andile</v>
      </c>
      <c r="D122" s="31" t="s">
        <v>242</v>
      </c>
      <c r="E122" s="31" t="s">
        <v>256</v>
      </c>
    </row>
    <row r="123" spans="1:5">
      <c r="A123" s="31" t="s">
        <v>569</v>
      </c>
      <c r="B123" s="31" t="s">
        <v>570</v>
      </c>
      <c r="C123" s="31" t="str">
        <f t="shared" si="1"/>
        <v>BOUTEAU Charlotte</v>
      </c>
      <c r="D123" s="31" t="s">
        <v>242</v>
      </c>
      <c r="E123" s="31" t="s">
        <v>283</v>
      </c>
    </row>
    <row r="124" spans="1:5">
      <c r="A124" s="31" t="s">
        <v>571</v>
      </c>
      <c r="B124" s="31" t="s">
        <v>245</v>
      </c>
      <c r="C124" s="31" t="str">
        <f t="shared" si="1"/>
        <v>BOUZABAL Sarah</v>
      </c>
      <c r="D124" s="31" t="s">
        <v>242</v>
      </c>
      <c r="E124" s="31" t="s">
        <v>383</v>
      </c>
    </row>
    <row r="125" spans="1:5">
      <c r="A125" s="31" t="s">
        <v>572</v>
      </c>
      <c r="B125" s="31" t="s">
        <v>573</v>
      </c>
      <c r="C125" s="31" t="str">
        <f t="shared" si="1"/>
        <v>BOUZEKRI Ayyoub</v>
      </c>
      <c r="D125" s="31" t="s">
        <v>242</v>
      </c>
      <c r="E125" s="31" t="s">
        <v>289</v>
      </c>
    </row>
    <row r="126" spans="1:5">
      <c r="A126" s="31" t="s">
        <v>574</v>
      </c>
      <c r="B126" s="31" t="s">
        <v>575</v>
      </c>
      <c r="C126" s="31" t="str">
        <f t="shared" si="1"/>
        <v>BRAHIMI Yacir</v>
      </c>
      <c r="D126" s="31" t="s">
        <v>242</v>
      </c>
      <c r="E126" s="31" t="s">
        <v>354</v>
      </c>
    </row>
    <row r="127" spans="1:5">
      <c r="A127" s="31" t="s">
        <v>278</v>
      </c>
      <c r="B127" s="31" t="s">
        <v>279</v>
      </c>
      <c r="C127" s="31" t="str">
        <f t="shared" si="1"/>
        <v>BREVILLE Alexandre</v>
      </c>
      <c r="D127" s="31" t="s">
        <v>242</v>
      </c>
      <c r="E127" s="31" t="s">
        <v>247</v>
      </c>
    </row>
    <row r="128" spans="1:5">
      <c r="A128" s="31" t="s">
        <v>576</v>
      </c>
      <c r="B128" s="31" t="s">
        <v>577</v>
      </c>
      <c r="C128" s="31" t="str">
        <f t="shared" si="1"/>
        <v>BRUNO Matteo</v>
      </c>
      <c r="D128" s="31" t="s">
        <v>242</v>
      </c>
      <c r="E128" s="31" t="s">
        <v>338</v>
      </c>
    </row>
    <row r="129" spans="1:5">
      <c r="A129" s="31" t="s">
        <v>578</v>
      </c>
      <c r="B129" s="31" t="s">
        <v>579</v>
      </c>
      <c r="C129" s="31" t="str">
        <f t="shared" si="1"/>
        <v>BUCA Andreia</v>
      </c>
      <c r="D129" s="31" t="s">
        <v>242</v>
      </c>
      <c r="E129" s="31" t="s">
        <v>371</v>
      </c>
    </row>
    <row r="130" spans="1:5">
      <c r="A130" s="31" t="s">
        <v>580</v>
      </c>
      <c r="B130" s="31" t="s">
        <v>282</v>
      </c>
      <c r="C130" s="31" t="str">
        <f t="shared" si="1"/>
        <v>BUTYNSKI Lucas</v>
      </c>
      <c r="D130" s="31" t="s">
        <v>242</v>
      </c>
      <c r="E130" s="31" t="s">
        <v>371</v>
      </c>
    </row>
    <row r="131" spans="1:5">
      <c r="A131" s="31" t="s">
        <v>581</v>
      </c>
      <c r="B131" s="31" t="s">
        <v>582</v>
      </c>
      <c r="C131" s="31" t="str">
        <f t="shared" ref="C131:C194" si="2">_xlfn.CONCAT(A131, " ",B131)</f>
        <v>CAMACHO Malcom</v>
      </c>
      <c r="D131" s="31" t="s">
        <v>242</v>
      </c>
      <c r="E131" s="31" t="s">
        <v>289</v>
      </c>
    </row>
    <row r="132" spans="1:5">
      <c r="A132" s="31" t="s">
        <v>583</v>
      </c>
      <c r="B132" s="31" t="s">
        <v>584</v>
      </c>
      <c r="C132" s="31" t="str">
        <f t="shared" si="2"/>
        <v>CAMARA Samuel</v>
      </c>
      <c r="D132" s="31" t="s">
        <v>242</v>
      </c>
      <c r="E132" s="31" t="s">
        <v>360</v>
      </c>
    </row>
    <row r="133" spans="1:5">
      <c r="A133" s="31" t="s">
        <v>583</v>
      </c>
      <c r="B133" s="31" t="s">
        <v>585</v>
      </c>
      <c r="C133" s="31" t="str">
        <f t="shared" si="2"/>
        <v>CAMARA Massila</v>
      </c>
      <c r="D133" s="31" t="s">
        <v>242</v>
      </c>
      <c r="E133" s="31" t="s">
        <v>289</v>
      </c>
    </row>
    <row r="134" spans="1:5">
      <c r="A134" s="31" t="s">
        <v>586</v>
      </c>
      <c r="B134" s="31" t="s">
        <v>587</v>
      </c>
      <c r="C134" s="31" t="str">
        <f t="shared" si="2"/>
        <v>CAMUS Valéry Alexandre</v>
      </c>
      <c r="D134" s="31" t="s">
        <v>242</v>
      </c>
      <c r="E134" s="31" t="s">
        <v>451</v>
      </c>
    </row>
    <row r="135" spans="1:5">
      <c r="A135" s="31" t="s">
        <v>588</v>
      </c>
      <c r="B135" s="31" t="s">
        <v>279</v>
      </c>
      <c r="C135" s="31" t="str">
        <f t="shared" si="2"/>
        <v>CANO Alexandre</v>
      </c>
      <c r="D135" s="31" t="s">
        <v>242</v>
      </c>
      <c r="E135" s="31" t="s">
        <v>377</v>
      </c>
    </row>
    <row r="136" spans="1:5">
      <c r="A136" s="31" t="s">
        <v>589</v>
      </c>
      <c r="B136" s="31" t="s">
        <v>590</v>
      </c>
      <c r="C136" s="31" t="str">
        <f t="shared" si="2"/>
        <v>CANOUAKE Yaseen</v>
      </c>
      <c r="D136" s="31" t="s">
        <v>242</v>
      </c>
      <c r="E136" s="31" t="s">
        <v>267</v>
      </c>
    </row>
    <row r="137" spans="1:5">
      <c r="A137" s="31" t="s">
        <v>591</v>
      </c>
      <c r="B137" s="31" t="s">
        <v>592</v>
      </c>
      <c r="C137" s="31" t="str">
        <f t="shared" si="2"/>
        <v>CAPDEPON DE BIGU-POIRRIER Edouard</v>
      </c>
      <c r="D137" s="31" t="s">
        <v>242</v>
      </c>
      <c r="E137" s="31" t="s">
        <v>389</v>
      </c>
    </row>
    <row r="138" spans="1:5">
      <c r="A138" s="31" t="s">
        <v>593</v>
      </c>
      <c r="B138" s="31" t="s">
        <v>594</v>
      </c>
      <c r="C138" s="31" t="str">
        <f t="shared" si="2"/>
        <v>CARDIGOS David</v>
      </c>
      <c r="D138" s="31" t="s">
        <v>242</v>
      </c>
      <c r="E138" s="31" t="s">
        <v>243</v>
      </c>
    </row>
    <row r="139" spans="1:5">
      <c r="A139" s="31" t="s">
        <v>595</v>
      </c>
      <c r="B139" s="31" t="s">
        <v>596</v>
      </c>
      <c r="C139" s="31" t="str">
        <f t="shared" si="2"/>
        <v>CARIOU Léon</v>
      </c>
      <c r="D139" s="31" t="s">
        <v>242</v>
      </c>
      <c r="E139" s="31" t="s">
        <v>348</v>
      </c>
    </row>
    <row r="140" spans="1:5">
      <c r="A140" s="31" t="s">
        <v>597</v>
      </c>
      <c r="B140" s="31" t="s">
        <v>598</v>
      </c>
      <c r="C140" s="31" t="str">
        <f t="shared" si="2"/>
        <v>CARON Nicolas</v>
      </c>
      <c r="D140" s="31" t="s">
        <v>242</v>
      </c>
      <c r="E140" s="31" t="s">
        <v>277</v>
      </c>
    </row>
    <row r="141" spans="1:5">
      <c r="A141" s="31" t="s">
        <v>599</v>
      </c>
      <c r="B141" s="31" t="s">
        <v>600</v>
      </c>
      <c r="C141" s="31" t="str">
        <f t="shared" si="2"/>
        <v>CAROUMBAYARAME Resabu</v>
      </c>
      <c r="D141" s="31" t="s">
        <v>242</v>
      </c>
      <c r="E141" s="31" t="s">
        <v>308</v>
      </c>
    </row>
    <row r="142" spans="1:5">
      <c r="A142" s="31" t="s">
        <v>601</v>
      </c>
      <c r="B142" s="31" t="s">
        <v>602</v>
      </c>
      <c r="C142" s="31" t="str">
        <f t="shared" si="2"/>
        <v>CARPENTIER Esteban</v>
      </c>
      <c r="D142" s="31" t="s">
        <v>242</v>
      </c>
      <c r="E142" s="31" t="s">
        <v>360</v>
      </c>
    </row>
    <row r="143" spans="1:5">
      <c r="A143" s="31" t="s">
        <v>603</v>
      </c>
      <c r="B143" s="31" t="s">
        <v>429</v>
      </c>
      <c r="C143" s="31" t="str">
        <f t="shared" si="2"/>
        <v>CASTELL Mathis</v>
      </c>
      <c r="D143" s="31" t="s">
        <v>242</v>
      </c>
      <c r="E143" s="31" t="s">
        <v>338</v>
      </c>
    </row>
    <row r="144" spans="1:5">
      <c r="A144" s="31" t="s">
        <v>604</v>
      </c>
      <c r="B144" s="31" t="s">
        <v>605</v>
      </c>
      <c r="C144" s="31" t="str">
        <f t="shared" si="2"/>
        <v>CESARI Milhane</v>
      </c>
      <c r="D144" s="31" t="s">
        <v>242</v>
      </c>
      <c r="E144" s="31" t="s">
        <v>297</v>
      </c>
    </row>
    <row r="145" spans="1:5">
      <c r="A145" s="31" t="s">
        <v>606</v>
      </c>
      <c r="B145" s="31" t="s">
        <v>607</v>
      </c>
      <c r="C145" s="31" t="str">
        <f t="shared" si="2"/>
        <v>CETRAN Elliot</v>
      </c>
      <c r="D145" s="31" t="s">
        <v>242</v>
      </c>
      <c r="E145" s="31" t="s">
        <v>308</v>
      </c>
    </row>
    <row r="146" spans="1:5">
      <c r="A146" s="31" t="s">
        <v>608</v>
      </c>
      <c r="B146" s="31" t="s">
        <v>481</v>
      </c>
      <c r="C146" s="31" t="str">
        <f t="shared" si="2"/>
        <v>CH'BABI Ayoub</v>
      </c>
      <c r="D146" s="31" t="s">
        <v>242</v>
      </c>
      <c r="E146" s="31" t="s">
        <v>308</v>
      </c>
    </row>
    <row r="147" spans="1:5">
      <c r="A147" s="31" t="s">
        <v>608</v>
      </c>
      <c r="B147" s="31" t="s">
        <v>557</v>
      </c>
      <c r="C147" s="31" t="str">
        <f t="shared" si="2"/>
        <v>CH'BABI Amine</v>
      </c>
      <c r="D147" s="31" t="s">
        <v>242</v>
      </c>
      <c r="E147" s="31" t="s">
        <v>395</v>
      </c>
    </row>
    <row r="148" spans="1:5">
      <c r="A148" s="31" t="s">
        <v>609</v>
      </c>
      <c r="B148" s="31" t="s">
        <v>610</v>
      </c>
      <c r="C148" s="31" t="str">
        <f t="shared" si="2"/>
        <v>CHAIBEDDRA-TANI Loqmane</v>
      </c>
      <c r="D148" s="31" t="s">
        <v>242</v>
      </c>
      <c r="E148" s="31" t="s">
        <v>443</v>
      </c>
    </row>
    <row r="149" spans="1:5">
      <c r="A149" s="31" t="s">
        <v>611</v>
      </c>
      <c r="B149" s="31" t="s">
        <v>612</v>
      </c>
      <c r="C149" s="31" t="str">
        <f t="shared" si="2"/>
        <v>CHALLAL ILYAS</v>
      </c>
      <c r="D149" s="31" t="s">
        <v>242</v>
      </c>
      <c r="E149" s="31" t="s">
        <v>267</v>
      </c>
    </row>
    <row r="150" spans="1:5">
      <c r="A150" s="31" t="s">
        <v>613</v>
      </c>
      <c r="B150" s="31" t="s">
        <v>614</v>
      </c>
      <c r="C150" s="31" t="str">
        <f t="shared" si="2"/>
        <v>CHAN Léo</v>
      </c>
      <c r="D150" s="31" t="s">
        <v>242</v>
      </c>
      <c r="E150" s="31" t="s">
        <v>277</v>
      </c>
    </row>
    <row r="151" spans="1:5">
      <c r="A151" s="31" t="s">
        <v>615</v>
      </c>
      <c r="B151" s="31" t="s">
        <v>616</v>
      </c>
      <c r="C151" s="31" t="str">
        <f t="shared" si="2"/>
        <v>CHANAL Olivier</v>
      </c>
      <c r="D151" s="31" t="s">
        <v>242</v>
      </c>
      <c r="E151" s="31" t="s">
        <v>283</v>
      </c>
    </row>
    <row r="152" spans="1:5">
      <c r="A152" s="31" t="s">
        <v>617</v>
      </c>
      <c r="B152" s="31" t="s">
        <v>618</v>
      </c>
      <c r="C152" s="31" t="str">
        <f t="shared" si="2"/>
        <v>CHANTHAVONG Fanny</v>
      </c>
      <c r="D152" s="31" t="s">
        <v>242</v>
      </c>
      <c r="E152" s="31" t="s">
        <v>406</v>
      </c>
    </row>
    <row r="153" spans="1:5">
      <c r="A153" s="31" t="s">
        <v>619</v>
      </c>
      <c r="B153" s="31" t="s">
        <v>620</v>
      </c>
      <c r="C153" s="31" t="str">
        <f t="shared" si="2"/>
        <v>CHARMILLON Louis-Marvin</v>
      </c>
      <c r="D153" s="31" t="s">
        <v>242</v>
      </c>
      <c r="E153" s="31" t="s">
        <v>443</v>
      </c>
    </row>
    <row r="154" spans="1:5">
      <c r="A154" s="31" t="s">
        <v>621</v>
      </c>
      <c r="B154" s="31" t="s">
        <v>524</v>
      </c>
      <c r="C154" s="31" t="str">
        <f t="shared" si="2"/>
        <v>CHARRON Théo</v>
      </c>
      <c r="D154" s="31" t="s">
        <v>242</v>
      </c>
      <c r="E154" s="31" t="s">
        <v>332</v>
      </c>
    </row>
    <row r="155" spans="1:5">
      <c r="A155" s="31" t="s">
        <v>622</v>
      </c>
      <c r="B155" s="31" t="s">
        <v>623</v>
      </c>
      <c r="C155" s="31" t="str">
        <f t="shared" si="2"/>
        <v>CHATTI Khalil</v>
      </c>
      <c r="D155" s="31" t="s">
        <v>242</v>
      </c>
      <c r="E155" s="31" t="s">
        <v>2</v>
      </c>
    </row>
    <row r="156" spans="1:5">
      <c r="A156" s="31" t="s">
        <v>624</v>
      </c>
      <c r="B156" s="31" t="s">
        <v>625</v>
      </c>
      <c r="C156" s="31" t="str">
        <f t="shared" si="2"/>
        <v>CHAUDHARY Prajay</v>
      </c>
      <c r="D156" s="31" t="s">
        <v>242</v>
      </c>
      <c r="E156" s="31" t="s">
        <v>332</v>
      </c>
    </row>
    <row r="157" spans="1:5">
      <c r="A157" s="31" t="s">
        <v>626</v>
      </c>
      <c r="B157" s="31" t="s">
        <v>627</v>
      </c>
      <c r="C157" s="31" t="str">
        <f t="shared" si="2"/>
        <v>CHAUFOURNAIS Loic</v>
      </c>
      <c r="D157" s="31" t="s">
        <v>242</v>
      </c>
      <c r="E157" s="31" t="s">
        <v>536</v>
      </c>
    </row>
    <row r="158" spans="1:5">
      <c r="A158" s="31" t="s">
        <v>628</v>
      </c>
      <c r="B158" s="31" t="s">
        <v>629</v>
      </c>
      <c r="C158" s="31" t="str">
        <f t="shared" si="2"/>
        <v>CHAUMULOT Yanis</v>
      </c>
      <c r="D158" s="31" t="s">
        <v>242</v>
      </c>
      <c r="E158" s="31" t="s">
        <v>354</v>
      </c>
    </row>
    <row r="159" spans="1:5">
      <c r="A159" s="31" t="s">
        <v>630</v>
      </c>
      <c r="B159" s="31" t="s">
        <v>631</v>
      </c>
      <c r="C159" s="31" t="str">
        <f t="shared" si="2"/>
        <v>CHEEMA Ranvir</v>
      </c>
      <c r="D159" s="31" t="s">
        <v>242</v>
      </c>
      <c r="E159" s="31" t="s">
        <v>267</v>
      </c>
    </row>
    <row r="160" spans="1:5">
      <c r="A160" s="31" t="s">
        <v>632</v>
      </c>
      <c r="B160" s="31" t="s">
        <v>458</v>
      </c>
      <c r="C160" s="31" t="str">
        <f t="shared" si="2"/>
        <v>CHENET Clément</v>
      </c>
      <c r="D160" s="31" t="s">
        <v>242</v>
      </c>
      <c r="E160" s="31" t="s">
        <v>412</v>
      </c>
    </row>
    <row r="161" spans="1:5">
      <c r="A161" s="31" t="s">
        <v>633</v>
      </c>
      <c r="B161" s="31" t="s">
        <v>634</v>
      </c>
      <c r="C161" s="31" t="str">
        <f t="shared" si="2"/>
        <v>CHENG Alain</v>
      </c>
      <c r="D161" s="31" t="s">
        <v>242</v>
      </c>
      <c r="E161" s="31" t="s">
        <v>432</v>
      </c>
    </row>
    <row r="162" spans="1:5">
      <c r="A162" s="31" t="s">
        <v>635</v>
      </c>
      <c r="B162" s="31" t="s">
        <v>557</v>
      </c>
      <c r="C162" s="31" t="str">
        <f t="shared" si="2"/>
        <v>CHERITI Amine</v>
      </c>
      <c r="D162" s="31" t="s">
        <v>242</v>
      </c>
      <c r="E162" s="31" t="s">
        <v>454</v>
      </c>
    </row>
    <row r="163" spans="1:5">
      <c r="A163" s="31" t="s">
        <v>636</v>
      </c>
      <c r="B163" s="31" t="s">
        <v>637</v>
      </c>
      <c r="C163" s="31" t="str">
        <f t="shared" si="2"/>
        <v>CHERNIAVSKA Viktoriia</v>
      </c>
      <c r="D163" s="31" t="s">
        <v>242</v>
      </c>
      <c r="E163" s="31" t="s">
        <v>250</v>
      </c>
    </row>
    <row r="164" spans="1:5">
      <c r="A164" s="31" t="s">
        <v>638</v>
      </c>
      <c r="B164" s="31" t="s">
        <v>639</v>
      </c>
      <c r="C164" s="31" t="str">
        <f t="shared" si="2"/>
        <v>CHERQI Amin</v>
      </c>
      <c r="D164" s="31" t="s">
        <v>242</v>
      </c>
      <c r="E164" s="31" t="s">
        <v>377</v>
      </c>
    </row>
    <row r="165" spans="1:5">
      <c r="A165" s="31" t="s">
        <v>640</v>
      </c>
      <c r="B165" s="31" t="s">
        <v>641</v>
      </c>
      <c r="C165" s="31" t="str">
        <f t="shared" si="2"/>
        <v>CHETOUI Ymed-eddine</v>
      </c>
      <c r="D165" s="31" t="s">
        <v>242</v>
      </c>
      <c r="E165" s="31" t="s">
        <v>451</v>
      </c>
    </row>
    <row r="166" spans="1:5">
      <c r="A166" s="31" t="s">
        <v>642</v>
      </c>
      <c r="B166" s="31" t="s">
        <v>643</v>
      </c>
      <c r="C166" s="31" t="str">
        <f t="shared" si="2"/>
        <v>CHEVALIER Fabien</v>
      </c>
      <c r="D166" s="31" t="s">
        <v>242</v>
      </c>
      <c r="E166" s="31" t="s">
        <v>2</v>
      </c>
    </row>
    <row r="167" spans="1:5">
      <c r="A167" s="31" t="s">
        <v>644</v>
      </c>
      <c r="B167" s="31" t="s">
        <v>645</v>
      </c>
      <c r="C167" s="31" t="str">
        <f t="shared" si="2"/>
        <v>CHIHI Mohammed</v>
      </c>
      <c r="D167" s="31" t="s">
        <v>242</v>
      </c>
      <c r="E167" s="31" t="s">
        <v>432</v>
      </c>
    </row>
    <row r="168" spans="1:5">
      <c r="A168" s="31" t="s">
        <v>646</v>
      </c>
      <c r="B168" s="31" t="s">
        <v>647</v>
      </c>
      <c r="C168" s="31" t="str">
        <f t="shared" si="2"/>
        <v>CHOQRI Sami</v>
      </c>
      <c r="D168" s="31" t="s">
        <v>242</v>
      </c>
      <c r="E168" s="31" t="s">
        <v>495</v>
      </c>
    </row>
    <row r="169" spans="1:5">
      <c r="A169" s="31" t="s">
        <v>648</v>
      </c>
      <c r="B169" s="31" t="s">
        <v>649</v>
      </c>
      <c r="C169" s="31" t="str">
        <f t="shared" si="2"/>
        <v>CHRISTMANN Julian</v>
      </c>
      <c r="D169" s="31" t="s">
        <v>242</v>
      </c>
      <c r="E169" s="31" t="s">
        <v>371</v>
      </c>
    </row>
    <row r="170" spans="1:5">
      <c r="A170" s="31" t="s">
        <v>650</v>
      </c>
      <c r="B170" s="31" t="s">
        <v>651</v>
      </c>
      <c r="C170" s="31" t="str">
        <f t="shared" si="2"/>
        <v>CHTAIBAT-SAAF Leyla</v>
      </c>
      <c r="D170" s="31" t="s">
        <v>242</v>
      </c>
      <c r="E170" s="31" t="s">
        <v>395</v>
      </c>
    </row>
    <row r="171" spans="1:5">
      <c r="A171" s="31" t="s">
        <v>652</v>
      </c>
      <c r="B171" s="31" t="s">
        <v>653</v>
      </c>
      <c r="C171" s="31" t="str">
        <f t="shared" si="2"/>
        <v>COCHARD--DURIGNEUX Louis</v>
      </c>
      <c r="D171" s="31" t="s">
        <v>242</v>
      </c>
      <c r="E171" s="31" t="s">
        <v>283</v>
      </c>
    </row>
    <row r="172" spans="1:5">
      <c r="A172" s="31" t="s">
        <v>654</v>
      </c>
      <c r="B172" s="31" t="s">
        <v>655</v>
      </c>
      <c r="C172" s="31" t="str">
        <f t="shared" si="2"/>
        <v>COHEN-SOLAL Ethan</v>
      </c>
      <c r="D172" s="31" t="s">
        <v>242</v>
      </c>
      <c r="E172" s="31" t="s">
        <v>360</v>
      </c>
    </row>
    <row r="173" spans="1:5">
      <c r="A173" s="31" t="s">
        <v>656</v>
      </c>
      <c r="B173" s="31" t="s">
        <v>657</v>
      </c>
      <c r="C173" s="31" t="str">
        <f t="shared" si="2"/>
        <v>COLAS Erwan</v>
      </c>
      <c r="D173" s="31" t="s">
        <v>242</v>
      </c>
      <c r="E173" s="31" t="s">
        <v>443</v>
      </c>
    </row>
    <row r="174" spans="1:5">
      <c r="A174" s="31" t="s">
        <v>658</v>
      </c>
      <c r="B174" s="31" t="s">
        <v>659</v>
      </c>
      <c r="C174" s="31" t="str">
        <f t="shared" si="2"/>
        <v>COLLADANT Nolhan</v>
      </c>
      <c r="D174" s="31" t="s">
        <v>242</v>
      </c>
      <c r="E174" s="31" t="s">
        <v>297</v>
      </c>
    </row>
    <row r="175" spans="1:5">
      <c r="A175" s="31" t="s">
        <v>660</v>
      </c>
      <c r="B175" s="31" t="s">
        <v>661</v>
      </c>
      <c r="C175" s="31" t="str">
        <f t="shared" si="2"/>
        <v>CÔME Rémi</v>
      </c>
      <c r="D175" s="31" t="s">
        <v>242</v>
      </c>
      <c r="E175" s="31" t="s">
        <v>283</v>
      </c>
    </row>
    <row r="176" spans="1:5">
      <c r="A176" s="31" t="s">
        <v>284</v>
      </c>
      <c r="B176" s="31" t="s">
        <v>285</v>
      </c>
      <c r="C176" s="31" t="str">
        <f t="shared" si="2"/>
        <v>CONDUCHE Thomas</v>
      </c>
      <c r="D176" s="31" t="s">
        <v>242</v>
      </c>
      <c r="E176" s="31" t="s">
        <v>247</v>
      </c>
    </row>
    <row r="177" spans="1:5">
      <c r="A177" s="31" t="s">
        <v>662</v>
      </c>
      <c r="B177" s="31" t="s">
        <v>663</v>
      </c>
      <c r="C177" s="31" t="str">
        <f t="shared" si="2"/>
        <v>CORINTHE Jérémy</v>
      </c>
      <c r="D177" s="31" t="s">
        <v>242</v>
      </c>
      <c r="E177" s="31" t="s">
        <v>308</v>
      </c>
    </row>
    <row r="178" spans="1:5">
      <c r="A178" s="31" t="s">
        <v>664</v>
      </c>
      <c r="B178" s="31" t="s">
        <v>282</v>
      </c>
      <c r="C178" s="31" t="str">
        <f t="shared" si="2"/>
        <v>COULOMBEL Lucas</v>
      </c>
      <c r="D178" s="31" t="s">
        <v>242</v>
      </c>
      <c r="E178" s="31" t="s">
        <v>283</v>
      </c>
    </row>
    <row r="179" spans="1:5">
      <c r="A179" s="31" t="s">
        <v>665</v>
      </c>
      <c r="B179" s="31" t="s">
        <v>666</v>
      </c>
      <c r="C179" s="31" t="str">
        <f t="shared" si="2"/>
        <v>COURTOIS Elodie</v>
      </c>
      <c r="D179" s="31" t="s">
        <v>242</v>
      </c>
      <c r="E179" s="31" t="s">
        <v>283</v>
      </c>
    </row>
    <row r="180" spans="1:5">
      <c r="A180" s="31" t="s">
        <v>667</v>
      </c>
      <c r="B180" s="31" t="s">
        <v>668</v>
      </c>
      <c r="C180" s="31" t="str">
        <f t="shared" si="2"/>
        <v>CRESPIN Raphaël</v>
      </c>
      <c r="D180" s="31" t="s">
        <v>242</v>
      </c>
      <c r="E180" s="31" t="s">
        <v>389</v>
      </c>
    </row>
    <row r="181" spans="1:5">
      <c r="A181" s="31" t="s">
        <v>669</v>
      </c>
      <c r="B181" s="31" t="s">
        <v>670</v>
      </c>
      <c r="C181" s="31" t="str">
        <f t="shared" si="2"/>
        <v>CRISEO Luca</v>
      </c>
      <c r="D181" s="31" t="s">
        <v>242</v>
      </c>
      <c r="E181" s="31" t="s">
        <v>395</v>
      </c>
    </row>
    <row r="182" spans="1:5">
      <c r="A182" s="31" t="s">
        <v>671</v>
      </c>
      <c r="B182" s="31" t="s">
        <v>672</v>
      </c>
      <c r="C182" s="31" t="str">
        <f t="shared" si="2"/>
        <v>DA COSTA Tiago</v>
      </c>
      <c r="D182" s="31" t="s">
        <v>242</v>
      </c>
      <c r="E182" s="31" t="s">
        <v>495</v>
      </c>
    </row>
    <row r="183" spans="1:5">
      <c r="A183" s="31" t="s">
        <v>671</v>
      </c>
      <c r="B183" s="31" t="s">
        <v>673</v>
      </c>
      <c r="C183" s="31" t="str">
        <f t="shared" si="2"/>
        <v>DA COSTA Pierre Joaquim</v>
      </c>
      <c r="D183" s="31" t="s">
        <v>242</v>
      </c>
      <c r="E183" s="31" t="s">
        <v>446</v>
      </c>
    </row>
    <row r="184" spans="1:5">
      <c r="A184" s="31" t="s">
        <v>674</v>
      </c>
      <c r="B184" s="31" t="s">
        <v>675</v>
      </c>
      <c r="C184" s="31" t="str">
        <f t="shared" si="2"/>
        <v>DA SILVA Joé</v>
      </c>
      <c r="D184" s="31" t="s">
        <v>242</v>
      </c>
      <c r="E184" s="31" t="s">
        <v>443</v>
      </c>
    </row>
    <row r="185" spans="1:5">
      <c r="A185" s="31" t="s">
        <v>676</v>
      </c>
      <c r="B185" s="31" t="s">
        <v>677</v>
      </c>
      <c r="C185" s="31" t="str">
        <f t="shared" si="2"/>
        <v>DACCORD Pierre-Alexandre</v>
      </c>
      <c r="D185" s="31" t="s">
        <v>242</v>
      </c>
      <c r="E185" s="31" t="s">
        <v>446</v>
      </c>
    </row>
    <row r="186" spans="1:5">
      <c r="A186" s="31" t="s">
        <v>678</v>
      </c>
      <c r="B186" s="31" t="s">
        <v>679</v>
      </c>
      <c r="C186" s="31" t="str">
        <f t="shared" si="2"/>
        <v>DADI Yusr</v>
      </c>
      <c r="D186" s="31" t="s">
        <v>242</v>
      </c>
      <c r="E186" s="31" t="s">
        <v>495</v>
      </c>
    </row>
    <row r="187" spans="1:5">
      <c r="A187" s="31" t="s">
        <v>680</v>
      </c>
      <c r="B187" s="31" t="s">
        <v>681</v>
      </c>
      <c r="C187" s="31" t="str">
        <f t="shared" si="2"/>
        <v>DAHOUCH Zainab</v>
      </c>
      <c r="D187" s="31" t="s">
        <v>242</v>
      </c>
      <c r="E187" s="31" t="s">
        <v>348</v>
      </c>
    </row>
    <row r="188" spans="1:5">
      <c r="A188" s="31" t="s">
        <v>290</v>
      </c>
      <c r="B188" s="31" t="s">
        <v>291</v>
      </c>
      <c r="C188" s="31" t="str">
        <f t="shared" si="2"/>
        <v>DANTU Nathan</v>
      </c>
      <c r="D188" s="31" t="s">
        <v>242</v>
      </c>
      <c r="E188" s="31" t="s">
        <v>247</v>
      </c>
    </row>
    <row r="189" spans="1:5">
      <c r="A189" s="31" t="s">
        <v>682</v>
      </c>
      <c r="B189" s="31" t="s">
        <v>683</v>
      </c>
      <c r="C189" s="31" t="str">
        <f t="shared" si="2"/>
        <v>DARGUEL Ismael</v>
      </c>
      <c r="D189" s="31" t="s">
        <v>242</v>
      </c>
      <c r="E189" s="31" t="s">
        <v>267</v>
      </c>
    </row>
    <row r="190" spans="1:5">
      <c r="A190" s="31" t="s">
        <v>684</v>
      </c>
      <c r="B190" s="31" t="s">
        <v>282</v>
      </c>
      <c r="C190" s="31" t="str">
        <f t="shared" si="2"/>
        <v>DE ALMEIDA Lucas</v>
      </c>
      <c r="D190" s="31" t="s">
        <v>242</v>
      </c>
      <c r="E190" s="31" t="s">
        <v>261</v>
      </c>
    </row>
    <row r="191" spans="1:5">
      <c r="A191" s="31" t="s">
        <v>685</v>
      </c>
      <c r="B191" s="31" t="s">
        <v>686</v>
      </c>
      <c r="C191" s="31" t="str">
        <f t="shared" si="2"/>
        <v>DE BELENET Pierre</v>
      </c>
      <c r="D191" s="31" t="s">
        <v>242</v>
      </c>
      <c r="E191" s="31" t="s">
        <v>360</v>
      </c>
    </row>
    <row r="192" spans="1:5">
      <c r="A192" s="31" t="s">
        <v>687</v>
      </c>
      <c r="B192" s="31" t="s">
        <v>688</v>
      </c>
      <c r="C192" s="31" t="str">
        <f t="shared" si="2"/>
        <v>DE CHABOT Louis-Alexandre</v>
      </c>
      <c r="D192" s="31" t="s">
        <v>242</v>
      </c>
      <c r="E192" s="31" t="s">
        <v>277</v>
      </c>
    </row>
    <row r="193" spans="1:5">
      <c r="A193" s="31" t="s">
        <v>689</v>
      </c>
      <c r="B193" s="31" t="s">
        <v>690</v>
      </c>
      <c r="C193" s="31" t="str">
        <f t="shared" si="2"/>
        <v>DE DIEULEVEULT Stanislas</v>
      </c>
      <c r="D193" s="31" t="s">
        <v>242</v>
      </c>
      <c r="E193" s="31" t="s">
        <v>297</v>
      </c>
    </row>
    <row r="194" spans="1:5">
      <c r="A194" s="31" t="s">
        <v>691</v>
      </c>
      <c r="B194" s="31" t="s">
        <v>304</v>
      </c>
      <c r="C194" s="31" t="str">
        <f t="shared" si="2"/>
        <v>DE MARESCHAL Antoine</v>
      </c>
      <c r="D194" s="31" t="s">
        <v>242</v>
      </c>
      <c r="E194" s="31" t="s">
        <v>536</v>
      </c>
    </row>
    <row r="195" spans="1:5">
      <c r="A195" s="31" t="s">
        <v>692</v>
      </c>
      <c r="B195" s="31" t="s">
        <v>285</v>
      </c>
      <c r="C195" s="31" t="str">
        <f t="shared" ref="C195:C258" si="3">_xlfn.CONCAT(A195, " ",B195)</f>
        <v>DE OLIVEIRA Thomas</v>
      </c>
      <c r="D195" s="31" t="s">
        <v>242</v>
      </c>
      <c r="E195" s="31" t="s">
        <v>536</v>
      </c>
    </row>
    <row r="196" spans="1:5">
      <c r="A196" s="31" t="s">
        <v>693</v>
      </c>
      <c r="B196" s="31" t="s">
        <v>694</v>
      </c>
      <c r="C196" s="31" t="str">
        <f t="shared" si="3"/>
        <v>DE SOUZA Joseph</v>
      </c>
      <c r="D196" s="31" t="s">
        <v>242</v>
      </c>
      <c r="E196" s="31" t="s">
        <v>443</v>
      </c>
    </row>
    <row r="197" spans="1:5">
      <c r="A197" s="31" t="s">
        <v>695</v>
      </c>
      <c r="B197" s="31" t="s">
        <v>542</v>
      </c>
      <c r="C197" s="31" t="str">
        <f t="shared" si="3"/>
        <v>DELANTE Baptiste</v>
      </c>
      <c r="D197" s="31" t="s">
        <v>242</v>
      </c>
      <c r="E197" s="31" t="s">
        <v>297</v>
      </c>
    </row>
    <row r="198" spans="1:5">
      <c r="A198" s="31" t="s">
        <v>696</v>
      </c>
      <c r="B198" s="31" t="s">
        <v>697</v>
      </c>
      <c r="C198" s="31" t="str">
        <f t="shared" si="3"/>
        <v>DELATTRE Hannah</v>
      </c>
      <c r="D198" s="31" t="s">
        <v>242</v>
      </c>
      <c r="E198" s="31" t="s">
        <v>446</v>
      </c>
    </row>
    <row r="199" spans="1:5">
      <c r="A199" s="31" t="s">
        <v>698</v>
      </c>
      <c r="B199" s="31" t="s">
        <v>699</v>
      </c>
      <c r="C199" s="31" t="str">
        <f t="shared" si="3"/>
        <v>DELBAUCHE Charly</v>
      </c>
      <c r="D199" s="31" t="s">
        <v>242</v>
      </c>
      <c r="E199" s="31" t="s">
        <v>389</v>
      </c>
    </row>
    <row r="200" spans="1:5">
      <c r="A200" s="31" t="s">
        <v>700</v>
      </c>
      <c r="B200" s="31" t="s">
        <v>468</v>
      </c>
      <c r="C200" s="31" t="str">
        <f t="shared" si="3"/>
        <v>DELBECQ Evan</v>
      </c>
      <c r="D200" s="31" t="s">
        <v>242</v>
      </c>
      <c r="E200" s="31" t="s">
        <v>277</v>
      </c>
    </row>
    <row r="201" spans="1:5">
      <c r="A201" s="31" t="s">
        <v>701</v>
      </c>
      <c r="B201" s="31" t="s">
        <v>702</v>
      </c>
      <c r="C201" s="31" t="str">
        <f t="shared" si="3"/>
        <v>DELLERIE Guillaume</v>
      </c>
      <c r="D201" s="31" t="s">
        <v>242</v>
      </c>
      <c r="E201" s="31" t="s">
        <v>451</v>
      </c>
    </row>
    <row r="202" spans="1:5">
      <c r="A202" s="31" t="s">
        <v>703</v>
      </c>
      <c r="B202" s="31" t="s">
        <v>704</v>
      </c>
      <c r="C202" s="31" t="str">
        <f t="shared" si="3"/>
        <v>DEMIR Emre</v>
      </c>
      <c r="D202" s="31" t="s">
        <v>242</v>
      </c>
      <c r="E202" s="31" t="s">
        <v>261</v>
      </c>
    </row>
    <row r="203" spans="1:5">
      <c r="A203" s="31" t="s">
        <v>705</v>
      </c>
      <c r="B203" s="31" t="s">
        <v>706</v>
      </c>
      <c r="C203" s="31" t="str">
        <f t="shared" si="3"/>
        <v>DENIS Marine</v>
      </c>
      <c r="D203" s="31" t="s">
        <v>242</v>
      </c>
      <c r="E203" s="31" t="s">
        <v>332</v>
      </c>
    </row>
    <row r="204" spans="1:5">
      <c r="A204" s="31" t="s">
        <v>705</v>
      </c>
      <c r="B204" s="31" t="s">
        <v>707</v>
      </c>
      <c r="C204" s="31" t="str">
        <f t="shared" si="3"/>
        <v>DENIS Christopher</v>
      </c>
      <c r="D204" s="31" t="s">
        <v>242</v>
      </c>
      <c r="E204" s="31" t="s">
        <v>338</v>
      </c>
    </row>
    <row r="205" spans="1:5">
      <c r="A205" s="31" t="s">
        <v>708</v>
      </c>
      <c r="B205" s="31" t="s">
        <v>709</v>
      </c>
      <c r="C205" s="31" t="str">
        <f t="shared" si="3"/>
        <v>DEROUBAIX Sasha</v>
      </c>
      <c r="D205" s="31" t="s">
        <v>242</v>
      </c>
      <c r="E205" s="31" t="s">
        <v>446</v>
      </c>
    </row>
    <row r="206" spans="1:5">
      <c r="A206" s="31" t="s">
        <v>710</v>
      </c>
      <c r="B206" s="31" t="s">
        <v>711</v>
      </c>
      <c r="C206" s="31" t="str">
        <f t="shared" si="3"/>
        <v>DESLOUS-PAOLI Magali</v>
      </c>
      <c r="D206" s="31" t="s">
        <v>242</v>
      </c>
      <c r="E206" s="31" t="s">
        <v>348</v>
      </c>
    </row>
    <row r="207" spans="1:5">
      <c r="A207" s="31" t="s">
        <v>712</v>
      </c>
      <c r="B207" s="31" t="s">
        <v>456</v>
      </c>
      <c r="C207" s="31" t="str">
        <f t="shared" si="3"/>
        <v>DETEE Adrien</v>
      </c>
      <c r="D207" s="31" t="s">
        <v>242</v>
      </c>
      <c r="E207" s="31" t="s">
        <v>277</v>
      </c>
    </row>
    <row r="208" spans="1:5">
      <c r="A208" s="31" t="s">
        <v>713</v>
      </c>
      <c r="B208" s="31" t="s">
        <v>714</v>
      </c>
      <c r="C208" s="31" t="str">
        <f t="shared" si="3"/>
        <v>DETELDER Camille</v>
      </c>
      <c r="D208" s="31" t="s">
        <v>242</v>
      </c>
      <c r="E208" s="31" t="s">
        <v>451</v>
      </c>
    </row>
    <row r="209" spans="1:5">
      <c r="A209" s="31" t="s">
        <v>715</v>
      </c>
      <c r="B209" s="31" t="s">
        <v>716</v>
      </c>
      <c r="C209" s="31" t="str">
        <f t="shared" si="3"/>
        <v>DHIFALLAH Mohamed Rayan</v>
      </c>
      <c r="D209" s="31" t="s">
        <v>242</v>
      </c>
      <c r="E209" s="31" t="s">
        <v>267</v>
      </c>
    </row>
    <row r="210" spans="1:5">
      <c r="A210" s="31" t="s">
        <v>717</v>
      </c>
      <c r="B210" s="31" t="s">
        <v>718</v>
      </c>
      <c r="C210" s="31" t="str">
        <f t="shared" si="3"/>
        <v>DHOSSOU Cabrel</v>
      </c>
      <c r="D210" s="31" t="s">
        <v>242</v>
      </c>
      <c r="E210" s="31" t="s">
        <v>243</v>
      </c>
    </row>
    <row r="211" spans="1:5">
      <c r="A211" s="31" t="s">
        <v>719</v>
      </c>
      <c r="B211" s="31" t="s">
        <v>720</v>
      </c>
      <c r="C211" s="31" t="str">
        <f t="shared" si="3"/>
        <v>DIACOUMBA Mahamadou</v>
      </c>
      <c r="D211" s="31" t="s">
        <v>242</v>
      </c>
      <c r="E211" s="31" t="s">
        <v>418</v>
      </c>
    </row>
    <row r="212" spans="1:5">
      <c r="A212" s="31" t="s">
        <v>721</v>
      </c>
      <c r="B212" s="31" t="s">
        <v>722</v>
      </c>
      <c r="C212" s="31" t="str">
        <f t="shared" si="3"/>
        <v>DIAKITE Guimba</v>
      </c>
      <c r="D212" s="31" t="s">
        <v>242</v>
      </c>
      <c r="E212" s="31" t="s">
        <v>297</v>
      </c>
    </row>
    <row r="213" spans="1:5">
      <c r="A213" s="31" t="s">
        <v>723</v>
      </c>
      <c r="B213" s="31" t="s">
        <v>724</v>
      </c>
      <c r="C213" s="31" t="str">
        <f t="shared" si="3"/>
        <v>DIALLO Mamadou Hady</v>
      </c>
      <c r="D213" s="31" t="s">
        <v>242</v>
      </c>
      <c r="E213" s="31" t="s">
        <v>412</v>
      </c>
    </row>
    <row r="214" spans="1:5">
      <c r="A214" s="31" t="s">
        <v>723</v>
      </c>
      <c r="B214" s="31" t="s">
        <v>725</v>
      </c>
      <c r="C214" s="31" t="str">
        <f t="shared" si="3"/>
        <v>DIALLO Mamadou Arabiou</v>
      </c>
      <c r="D214" s="31" t="s">
        <v>242</v>
      </c>
      <c r="E214" s="31" t="s">
        <v>383</v>
      </c>
    </row>
    <row r="215" spans="1:5">
      <c r="A215" s="31" t="s">
        <v>723</v>
      </c>
      <c r="B215" s="31" t="s">
        <v>726</v>
      </c>
      <c r="C215" s="31" t="str">
        <f t="shared" si="3"/>
        <v>DIALLO Djibril</v>
      </c>
      <c r="D215" s="31" t="s">
        <v>242</v>
      </c>
      <c r="E215" s="31" t="s">
        <v>256</v>
      </c>
    </row>
    <row r="216" spans="1:5">
      <c r="A216" s="31" t="s">
        <v>723</v>
      </c>
      <c r="B216" s="31" t="s">
        <v>727</v>
      </c>
      <c r="C216" s="31" t="str">
        <f t="shared" si="3"/>
        <v>DIALLO Alassane</v>
      </c>
      <c r="D216" s="31" t="s">
        <v>242</v>
      </c>
      <c r="E216" s="31" t="s">
        <v>443</v>
      </c>
    </row>
    <row r="217" spans="1:5">
      <c r="A217" s="31" t="s">
        <v>728</v>
      </c>
      <c r="B217" s="31" t="s">
        <v>729</v>
      </c>
      <c r="C217" s="31" t="str">
        <f t="shared" si="3"/>
        <v>DIANKA Astan</v>
      </c>
      <c r="D217" s="31" t="s">
        <v>242</v>
      </c>
      <c r="E217" s="31" t="s">
        <v>267</v>
      </c>
    </row>
    <row r="218" spans="1:5">
      <c r="A218" s="31" t="s">
        <v>730</v>
      </c>
      <c r="B218" s="31" t="s">
        <v>485</v>
      </c>
      <c r="C218" s="31" t="str">
        <f t="shared" si="3"/>
        <v>DIARRA Mathieu</v>
      </c>
      <c r="D218" s="31" t="s">
        <v>242</v>
      </c>
      <c r="E218" s="31" t="s">
        <v>256</v>
      </c>
    </row>
    <row r="219" spans="1:5">
      <c r="A219" s="31" t="s">
        <v>731</v>
      </c>
      <c r="B219" s="31" t="s">
        <v>538</v>
      </c>
      <c r="C219" s="31" t="str">
        <f t="shared" si="3"/>
        <v>DIAS Enzo</v>
      </c>
      <c r="D219" s="31" t="s">
        <v>242</v>
      </c>
      <c r="E219" s="31" t="s">
        <v>283</v>
      </c>
    </row>
    <row r="220" spans="1:5">
      <c r="A220" s="31" t="s">
        <v>732</v>
      </c>
      <c r="B220" s="31" t="s">
        <v>282</v>
      </c>
      <c r="C220" s="31" t="str">
        <f t="shared" si="3"/>
        <v>DIAZ Lucas</v>
      </c>
      <c r="D220" s="31" t="s">
        <v>242</v>
      </c>
      <c r="E220" s="31" t="s">
        <v>451</v>
      </c>
    </row>
    <row r="221" spans="1:5">
      <c r="A221" s="31" t="s">
        <v>733</v>
      </c>
      <c r="B221" s="31" t="s">
        <v>734</v>
      </c>
      <c r="C221" s="31" t="str">
        <f t="shared" si="3"/>
        <v>DIJON Gaelle</v>
      </c>
      <c r="D221" s="31" t="s">
        <v>242</v>
      </c>
      <c r="E221" s="31" t="s">
        <v>383</v>
      </c>
    </row>
    <row r="222" spans="1:5">
      <c r="A222" s="31" t="s">
        <v>735</v>
      </c>
      <c r="B222" s="31" t="s">
        <v>736</v>
      </c>
      <c r="C222" s="31" t="str">
        <f t="shared" si="3"/>
        <v>DINADAYALANE Aaron</v>
      </c>
      <c r="D222" s="31" t="s">
        <v>242</v>
      </c>
      <c r="E222" s="31" t="s">
        <v>289</v>
      </c>
    </row>
    <row r="223" spans="1:5">
      <c r="A223" s="31" t="s">
        <v>737</v>
      </c>
      <c r="B223" s="31" t="s">
        <v>279</v>
      </c>
      <c r="C223" s="31" t="str">
        <f t="shared" si="3"/>
        <v>DISSI Alexandre</v>
      </c>
      <c r="D223" s="31" t="s">
        <v>242</v>
      </c>
      <c r="E223" s="31" t="s">
        <v>377</v>
      </c>
    </row>
    <row r="224" spans="1:5">
      <c r="A224" s="31" t="s">
        <v>738</v>
      </c>
      <c r="B224" s="31" t="s">
        <v>291</v>
      </c>
      <c r="C224" s="31" t="str">
        <f t="shared" si="3"/>
        <v>DISTRETTI Nathan</v>
      </c>
      <c r="D224" s="31" t="s">
        <v>242</v>
      </c>
      <c r="E224" s="31" t="s">
        <v>289</v>
      </c>
    </row>
    <row r="225" spans="1:5">
      <c r="A225" s="31" t="s">
        <v>739</v>
      </c>
      <c r="B225" s="31" t="s">
        <v>740</v>
      </c>
      <c r="C225" s="31" t="str">
        <f t="shared" si="3"/>
        <v>DJEMMAA Walid</v>
      </c>
      <c r="D225" s="31" t="s">
        <v>242</v>
      </c>
      <c r="E225" s="31" t="s">
        <v>332</v>
      </c>
    </row>
    <row r="226" spans="1:5">
      <c r="A226" s="31" t="s">
        <v>741</v>
      </c>
      <c r="B226" s="31" t="s">
        <v>742</v>
      </c>
      <c r="C226" s="31" t="str">
        <f t="shared" si="3"/>
        <v>DJIONGO DONGMO Jean Louis</v>
      </c>
      <c r="D226" s="31" t="s">
        <v>242</v>
      </c>
      <c r="E226" s="31" t="s">
        <v>454</v>
      </c>
    </row>
    <row r="227" spans="1:5">
      <c r="A227" s="31" t="s">
        <v>743</v>
      </c>
      <c r="B227" s="31" t="s">
        <v>279</v>
      </c>
      <c r="C227" s="31" t="str">
        <f t="shared" si="3"/>
        <v>DOAN Alexandre</v>
      </c>
      <c r="D227" s="31" t="s">
        <v>242</v>
      </c>
      <c r="E227" s="31" t="s">
        <v>443</v>
      </c>
    </row>
    <row r="228" spans="1:5">
      <c r="A228" s="31" t="s">
        <v>744</v>
      </c>
      <c r="B228" s="31" t="s">
        <v>745</v>
      </c>
      <c r="C228" s="31" t="str">
        <f t="shared" si="3"/>
        <v>DOIZELET Killian</v>
      </c>
      <c r="D228" s="31" t="s">
        <v>242</v>
      </c>
      <c r="E228" s="31" t="s">
        <v>495</v>
      </c>
    </row>
    <row r="229" spans="1:5">
      <c r="A229" s="31" t="s">
        <v>746</v>
      </c>
      <c r="B229" s="31" t="s">
        <v>747</v>
      </c>
      <c r="C229" s="31" t="str">
        <f t="shared" si="3"/>
        <v>DOMSIC Laurent</v>
      </c>
      <c r="D229" s="31" t="s">
        <v>242</v>
      </c>
      <c r="E229" s="31" t="s">
        <v>297</v>
      </c>
    </row>
    <row r="230" spans="1:5">
      <c r="A230" s="31" t="s">
        <v>748</v>
      </c>
      <c r="B230" s="31" t="s">
        <v>749</v>
      </c>
      <c r="C230" s="31" t="str">
        <f t="shared" si="3"/>
        <v>DORCELUS Nomensky</v>
      </c>
      <c r="D230" s="31" t="s">
        <v>242</v>
      </c>
      <c r="E230" s="31" t="s">
        <v>261</v>
      </c>
    </row>
    <row r="231" spans="1:5">
      <c r="A231" s="31" t="s">
        <v>750</v>
      </c>
      <c r="B231" s="31" t="s">
        <v>751</v>
      </c>
      <c r="C231" s="31" t="str">
        <f t="shared" si="3"/>
        <v>DOS SANTOS PACIENCIA Julie</v>
      </c>
      <c r="D231" s="31" t="s">
        <v>242</v>
      </c>
      <c r="E231" s="31" t="s">
        <v>261</v>
      </c>
    </row>
    <row r="232" spans="1:5">
      <c r="A232" s="31" t="s">
        <v>752</v>
      </c>
      <c r="B232" s="31" t="s">
        <v>598</v>
      </c>
      <c r="C232" s="31" t="str">
        <f t="shared" si="3"/>
        <v>DOSSIN Nicolas</v>
      </c>
      <c r="D232" s="31" t="s">
        <v>242</v>
      </c>
      <c r="E232" s="31" t="s">
        <v>451</v>
      </c>
    </row>
    <row r="233" spans="1:5">
      <c r="A233" s="31" t="s">
        <v>753</v>
      </c>
      <c r="B233" s="31" t="s">
        <v>566</v>
      </c>
      <c r="C233" s="31" t="str">
        <f t="shared" si="3"/>
        <v>DOUADI Anis</v>
      </c>
      <c r="D233" s="31" t="s">
        <v>242</v>
      </c>
      <c r="E233" s="31" t="s">
        <v>454</v>
      </c>
    </row>
    <row r="234" spans="1:5">
      <c r="A234" s="31" t="s">
        <v>754</v>
      </c>
      <c r="B234" s="31" t="s">
        <v>755</v>
      </c>
      <c r="C234" s="31" t="str">
        <f t="shared" si="3"/>
        <v>DOUMAT Wyssem</v>
      </c>
      <c r="D234" s="31" t="s">
        <v>242</v>
      </c>
      <c r="E234" s="31" t="s">
        <v>261</v>
      </c>
    </row>
    <row r="235" spans="1:5">
      <c r="A235" s="31" t="s">
        <v>756</v>
      </c>
      <c r="B235" s="31" t="s">
        <v>757</v>
      </c>
      <c r="C235" s="31" t="str">
        <f t="shared" si="3"/>
        <v>DOURESSAMY Ludovic</v>
      </c>
      <c r="D235" s="31" t="s">
        <v>242</v>
      </c>
      <c r="E235" s="31" t="s">
        <v>443</v>
      </c>
    </row>
    <row r="236" spans="1:5">
      <c r="A236" s="31" t="s">
        <v>758</v>
      </c>
      <c r="B236" s="31" t="s">
        <v>759</v>
      </c>
      <c r="C236" s="31" t="str">
        <f t="shared" si="3"/>
        <v>DOURI Mohamad</v>
      </c>
      <c r="D236" s="31" t="s">
        <v>242</v>
      </c>
      <c r="E236" s="31" t="s">
        <v>338</v>
      </c>
    </row>
    <row r="237" spans="1:5">
      <c r="A237" s="31" t="s">
        <v>760</v>
      </c>
      <c r="B237" s="31" t="s">
        <v>285</v>
      </c>
      <c r="C237" s="31" t="str">
        <f t="shared" si="3"/>
        <v>DUBOIS Thomas</v>
      </c>
      <c r="D237" s="31" t="s">
        <v>242</v>
      </c>
      <c r="E237" s="31" t="s">
        <v>297</v>
      </c>
    </row>
    <row r="238" spans="1:5">
      <c r="A238" s="31" t="s">
        <v>760</v>
      </c>
      <c r="B238" s="31" t="s">
        <v>761</v>
      </c>
      <c r="C238" s="31" t="str">
        <f t="shared" si="3"/>
        <v>DUBOIS Etienne</v>
      </c>
      <c r="D238" s="31" t="s">
        <v>242</v>
      </c>
      <c r="E238" s="31" t="s">
        <v>377</v>
      </c>
    </row>
    <row r="239" spans="1:5">
      <c r="A239" s="31" t="s">
        <v>762</v>
      </c>
      <c r="B239" s="31" t="s">
        <v>763</v>
      </c>
      <c r="C239" s="31" t="str">
        <f t="shared" si="3"/>
        <v>DUCHEMANN Alexis</v>
      </c>
      <c r="D239" s="31" t="s">
        <v>242</v>
      </c>
      <c r="E239" s="31" t="s">
        <v>377</v>
      </c>
    </row>
    <row r="240" spans="1:5">
      <c r="A240" s="31" t="s">
        <v>764</v>
      </c>
      <c r="B240" s="31" t="s">
        <v>765</v>
      </c>
      <c r="C240" s="31" t="str">
        <f t="shared" si="3"/>
        <v>DUMLU Can Bedirhan</v>
      </c>
      <c r="D240" s="31" t="s">
        <v>242</v>
      </c>
      <c r="E240" s="31" t="s">
        <v>297</v>
      </c>
    </row>
    <row r="241" spans="1:5">
      <c r="A241" s="31" t="s">
        <v>766</v>
      </c>
      <c r="B241" s="31" t="s">
        <v>282</v>
      </c>
      <c r="C241" s="31" t="str">
        <f t="shared" si="3"/>
        <v>DUMONDIN Lucas</v>
      </c>
      <c r="D241" s="31" t="s">
        <v>242</v>
      </c>
      <c r="E241" s="31" t="s">
        <v>297</v>
      </c>
    </row>
    <row r="242" spans="1:5">
      <c r="A242" s="31" t="s">
        <v>767</v>
      </c>
      <c r="B242" s="31" t="s">
        <v>768</v>
      </c>
      <c r="C242" s="31" t="str">
        <f t="shared" si="3"/>
        <v>DUPAS Allan</v>
      </c>
      <c r="D242" s="31" t="s">
        <v>242</v>
      </c>
      <c r="E242" s="31" t="s">
        <v>446</v>
      </c>
    </row>
    <row r="243" spans="1:5">
      <c r="A243" s="31" t="s">
        <v>769</v>
      </c>
      <c r="B243" s="31" t="s">
        <v>282</v>
      </c>
      <c r="C243" s="31" t="str">
        <f t="shared" si="3"/>
        <v>DURAES Lucas</v>
      </c>
      <c r="D243" s="31" t="s">
        <v>242</v>
      </c>
      <c r="E243" s="31" t="s">
        <v>412</v>
      </c>
    </row>
    <row r="244" spans="1:5">
      <c r="A244" s="31" t="s">
        <v>770</v>
      </c>
      <c r="B244" s="31" t="s">
        <v>771</v>
      </c>
      <c r="C244" s="31" t="str">
        <f t="shared" si="3"/>
        <v>DUVINA Victor</v>
      </c>
      <c r="D244" s="31" t="s">
        <v>242</v>
      </c>
      <c r="E244" s="31" t="s">
        <v>256</v>
      </c>
    </row>
    <row r="245" spans="1:5">
      <c r="A245" s="31" t="s">
        <v>772</v>
      </c>
      <c r="B245" s="31" t="s">
        <v>557</v>
      </c>
      <c r="C245" s="31" t="str">
        <f t="shared" si="3"/>
        <v>EL AADDIDI Amine</v>
      </c>
      <c r="D245" s="31" t="s">
        <v>242</v>
      </c>
      <c r="E245" s="31" t="s">
        <v>395</v>
      </c>
    </row>
    <row r="246" spans="1:5">
      <c r="A246" s="31" t="s">
        <v>773</v>
      </c>
      <c r="B246" s="31" t="s">
        <v>774</v>
      </c>
      <c r="C246" s="31" t="str">
        <f t="shared" si="3"/>
        <v>EL ALAOUI Sidi Yassin</v>
      </c>
      <c r="D246" s="31" t="s">
        <v>242</v>
      </c>
      <c r="E246" s="31" t="s">
        <v>495</v>
      </c>
    </row>
    <row r="247" spans="1:5">
      <c r="A247" s="31" t="s">
        <v>775</v>
      </c>
      <c r="B247" s="31" t="s">
        <v>776</v>
      </c>
      <c r="C247" s="31" t="str">
        <f t="shared" si="3"/>
        <v>EL BANA Ashraf</v>
      </c>
      <c r="D247" s="31" t="s">
        <v>242</v>
      </c>
      <c r="E247" s="31" t="s">
        <v>308</v>
      </c>
    </row>
    <row r="248" spans="1:5">
      <c r="A248" s="31" t="s">
        <v>777</v>
      </c>
      <c r="B248" s="31" t="s">
        <v>778</v>
      </c>
      <c r="C248" s="31" t="str">
        <f t="shared" si="3"/>
        <v>EL BARZOUZI Iliess</v>
      </c>
      <c r="D248" s="31" t="s">
        <v>242</v>
      </c>
      <c r="E248" s="31" t="s">
        <v>261</v>
      </c>
    </row>
    <row r="249" spans="1:5">
      <c r="A249" s="31" t="s">
        <v>779</v>
      </c>
      <c r="B249" s="31" t="s">
        <v>780</v>
      </c>
      <c r="C249" s="31" t="str">
        <f t="shared" si="3"/>
        <v>EL HAFSI Nizar</v>
      </c>
      <c r="D249" s="31" t="s">
        <v>242</v>
      </c>
      <c r="E249" s="31" t="s">
        <v>443</v>
      </c>
    </row>
    <row r="250" spans="1:5">
      <c r="A250" s="31" t="s">
        <v>781</v>
      </c>
      <c r="B250" s="31" t="s">
        <v>782</v>
      </c>
      <c r="C250" s="31" t="str">
        <f t="shared" si="3"/>
        <v>EL JAAOUANI Yasmina</v>
      </c>
      <c r="D250" s="31" t="s">
        <v>242</v>
      </c>
      <c r="E250" s="31" t="s">
        <v>446</v>
      </c>
    </row>
    <row r="251" spans="1:5">
      <c r="A251" s="31" t="s">
        <v>783</v>
      </c>
      <c r="B251" s="31" t="s">
        <v>784</v>
      </c>
      <c r="C251" s="31" t="str">
        <f t="shared" si="3"/>
        <v>EL JARRARI Wakil</v>
      </c>
      <c r="D251" s="31" t="s">
        <v>242</v>
      </c>
      <c r="E251" s="31" t="s">
        <v>354</v>
      </c>
    </row>
    <row r="252" spans="1:5">
      <c r="A252" s="31" t="s">
        <v>785</v>
      </c>
      <c r="B252" s="31" t="s">
        <v>786</v>
      </c>
      <c r="C252" s="31" t="str">
        <f t="shared" si="3"/>
        <v>ELAOUNI Sofiane</v>
      </c>
      <c r="D252" s="31" t="s">
        <v>242</v>
      </c>
      <c r="E252" s="31" t="s">
        <v>267</v>
      </c>
    </row>
    <row r="253" spans="1:5">
      <c r="A253" s="31" t="s">
        <v>787</v>
      </c>
      <c r="B253" s="31" t="s">
        <v>788</v>
      </c>
      <c r="C253" s="31" t="str">
        <f t="shared" si="3"/>
        <v>ELBOGHDADY Mahmoud</v>
      </c>
      <c r="D253" s="31" t="s">
        <v>242</v>
      </c>
      <c r="E253" s="31" t="s">
        <v>297</v>
      </c>
    </row>
    <row r="254" spans="1:5">
      <c r="A254" s="31" t="s">
        <v>789</v>
      </c>
      <c r="B254" s="31" t="s">
        <v>790</v>
      </c>
      <c r="C254" s="31" t="str">
        <f t="shared" si="3"/>
        <v>ELHOCINE Arezki</v>
      </c>
      <c r="D254" s="31" t="s">
        <v>242</v>
      </c>
      <c r="E254" s="31" t="s">
        <v>406</v>
      </c>
    </row>
    <row r="255" spans="1:5">
      <c r="A255" s="31" t="s">
        <v>791</v>
      </c>
      <c r="B255" s="31" t="s">
        <v>792</v>
      </c>
      <c r="C255" s="31" t="str">
        <f t="shared" si="3"/>
        <v>ESSADI Abderhamane</v>
      </c>
      <c r="D255" s="31" t="s">
        <v>242</v>
      </c>
      <c r="E255" s="31" t="s">
        <v>267</v>
      </c>
    </row>
    <row r="256" spans="1:5">
      <c r="A256" s="31" t="s">
        <v>793</v>
      </c>
      <c r="B256" s="31" t="s">
        <v>794</v>
      </c>
      <c r="C256" s="31" t="str">
        <f t="shared" si="3"/>
        <v>ESTEVEZ Mikael</v>
      </c>
      <c r="D256" s="31" t="s">
        <v>242</v>
      </c>
      <c r="E256" s="31" t="s">
        <v>289</v>
      </c>
    </row>
    <row r="257" spans="1:5">
      <c r="A257" s="31" t="s">
        <v>795</v>
      </c>
      <c r="B257" s="31" t="s">
        <v>796</v>
      </c>
      <c r="C257" s="31" t="str">
        <f t="shared" si="3"/>
        <v>ETAK Anding Vianney</v>
      </c>
      <c r="D257" s="31" t="s">
        <v>242</v>
      </c>
      <c r="E257" s="31" t="s">
        <v>406</v>
      </c>
    </row>
    <row r="258" spans="1:5">
      <c r="A258" s="31" t="s">
        <v>797</v>
      </c>
      <c r="B258" s="31" t="s">
        <v>798</v>
      </c>
      <c r="C258" s="31" t="str">
        <f t="shared" si="3"/>
        <v>EXANTUS Jean-Yves</v>
      </c>
      <c r="D258" s="31" t="s">
        <v>242</v>
      </c>
      <c r="E258" s="31" t="s">
        <v>308</v>
      </c>
    </row>
    <row r="259" spans="1:5">
      <c r="A259" s="31" t="s">
        <v>799</v>
      </c>
      <c r="B259" s="31" t="s">
        <v>279</v>
      </c>
      <c r="C259" s="31" t="str">
        <f t="shared" ref="C259:C322" si="4">_xlfn.CONCAT(A259, " ",B259)</f>
        <v>FABIANI Alexandre</v>
      </c>
      <c r="D259" s="31" t="s">
        <v>242</v>
      </c>
      <c r="E259" s="31" t="s">
        <v>261</v>
      </c>
    </row>
    <row r="260" spans="1:5">
      <c r="A260" s="31" t="s">
        <v>800</v>
      </c>
      <c r="B260" s="31" t="s">
        <v>801</v>
      </c>
      <c r="C260" s="31" t="str">
        <f t="shared" si="4"/>
        <v>FADHLAOUI Mohamed-Amine</v>
      </c>
      <c r="D260" s="31" t="s">
        <v>242</v>
      </c>
      <c r="E260" s="31" t="s">
        <v>243</v>
      </c>
    </row>
    <row r="261" spans="1:5">
      <c r="A261" s="31" t="s">
        <v>802</v>
      </c>
      <c r="B261" s="31" t="s">
        <v>803</v>
      </c>
      <c r="C261" s="31" t="str">
        <f t="shared" si="4"/>
        <v>FALL Mame Fatou</v>
      </c>
      <c r="D261" s="31" t="s">
        <v>242</v>
      </c>
      <c r="E261" s="31" t="s">
        <v>536</v>
      </c>
    </row>
    <row r="262" spans="1:5">
      <c r="A262" s="31" t="s">
        <v>804</v>
      </c>
      <c r="B262" s="31" t="s">
        <v>805</v>
      </c>
      <c r="C262" s="31" t="str">
        <f t="shared" si="4"/>
        <v>FARABET Joachim</v>
      </c>
      <c r="D262" s="31" t="s">
        <v>242</v>
      </c>
      <c r="E262" s="31" t="s">
        <v>377</v>
      </c>
    </row>
    <row r="263" spans="1:5">
      <c r="A263" s="31" t="s">
        <v>806</v>
      </c>
      <c r="B263" s="31" t="s">
        <v>807</v>
      </c>
      <c r="C263" s="31" t="str">
        <f t="shared" si="4"/>
        <v>FARCY Paul</v>
      </c>
      <c r="D263" s="31" t="s">
        <v>242</v>
      </c>
      <c r="E263" s="31" t="s">
        <v>389</v>
      </c>
    </row>
    <row r="264" spans="1:5">
      <c r="A264" s="31" t="s">
        <v>808</v>
      </c>
      <c r="B264" s="31" t="s">
        <v>427</v>
      </c>
      <c r="C264" s="31" t="str">
        <f t="shared" si="4"/>
        <v>FARID Hamza</v>
      </c>
      <c r="D264" s="31" t="s">
        <v>242</v>
      </c>
      <c r="E264" s="31" t="s">
        <v>432</v>
      </c>
    </row>
    <row r="265" spans="1:5">
      <c r="A265" s="31" t="s">
        <v>809</v>
      </c>
      <c r="B265" s="31" t="s">
        <v>810</v>
      </c>
      <c r="C265" s="31" t="str">
        <f t="shared" si="4"/>
        <v>FELIX Kilyan</v>
      </c>
      <c r="D265" s="31" t="s">
        <v>242</v>
      </c>
      <c r="E265" s="31" t="s">
        <v>418</v>
      </c>
    </row>
    <row r="266" spans="1:5">
      <c r="A266" s="31" t="s">
        <v>811</v>
      </c>
      <c r="B266" s="31" t="s">
        <v>485</v>
      </c>
      <c r="C266" s="31" t="str">
        <f t="shared" si="4"/>
        <v>FERCOCQ Mathieu</v>
      </c>
      <c r="D266" s="31" t="s">
        <v>242</v>
      </c>
      <c r="E266" s="31" t="s">
        <v>338</v>
      </c>
    </row>
    <row r="267" spans="1:5">
      <c r="A267" s="31" t="s">
        <v>812</v>
      </c>
      <c r="B267" s="31" t="s">
        <v>422</v>
      </c>
      <c r="C267" s="31" t="str">
        <f t="shared" si="4"/>
        <v>FERNANDES Hugo</v>
      </c>
      <c r="D267" s="31" t="s">
        <v>242</v>
      </c>
      <c r="E267" s="31" t="s">
        <v>267</v>
      </c>
    </row>
    <row r="268" spans="1:5">
      <c r="A268" s="31" t="s">
        <v>813</v>
      </c>
      <c r="B268" s="31" t="s">
        <v>814</v>
      </c>
      <c r="C268" s="31" t="str">
        <f t="shared" si="4"/>
        <v>FILALI Dhia Eddine</v>
      </c>
      <c r="D268" s="31" t="s">
        <v>242</v>
      </c>
      <c r="E268" s="31" t="s">
        <v>383</v>
      </c>
    </row>
    <row r="269" spans="1:5">
      <c r="A269" s="31" t="s">
        <v>815</v>
      </c>
      <c r="B269" s="31" t="s">
        <v>304</v>
      </c>
      <c r="C269" s="31" t="str">
        <f t="shared" si="4"/>
        <v>FILIPE ZAMOUN Antoine</v>
      </c>
      <c r="D269" s="31" t="s">
        <v>242</v>
      </c>
      <c r="E269" s="31" t="s">
        <v>297</v>
      </c>
    </row>
    <row r="270" spans="1:5">
      <c r="A270" s="31" t="s">
        <v>816</v>
      </c>
      <c r="B270" s="31" t="s">
        <v>817</v>
      </c>
      <c r="C270" s="31" t="str">
        <f t="shared" si="4"/>
        <v>FLAMENT Arthur</v>
      </c>
      <c r="D270" s="31" t="s">
        <v>242</v>
      </c>
      <c r="E270" s="31" t="s">
        <v>297</v>
      </c>
    </row>
    <row r="271" spans="1:5">
      <c r="A271" s="31" t="s">
        <v>818</v>
      </c>
      <c r="B271" s="31" t="s">
        <v>819</v>
      </c>
      <c r="C271" s="31" t="str">
        <f t="shared" si="4"/>
        <v>FLANDERS Zaide</v>
      </c>
      <c r="D271" s="31" t="s">
        <v>242</v>
      </c>
      <c r="E271" s="31" t="s">
        <v>360</v>
      </c>
    </row>
    <row r="272" spans="1:5">
      <c r="A272" s="31" t="s">
        <v>820</v>
      </c>
      <c r="B272" s="31" t="s">
        <v>821</v>
      </c>
      <c r="C272" s="31" t="str">
        <f t="shared" si="4"/>
        <v>FOCSA Yvan</v>
      </c>
      <c r="D272" s="31" t="s">
        <v>242</v>
      </c>
      <c r="E272" s="31" t="s">
        <v>418</v>
      </c>
    </row>
    <row r="273" spans="1:5">
      <c r="A273" s="31" t="s">
        <v>822</v>
      </c>
      <c r="B273" s="31" t="s">
        <v>823</v>
      </c>
      <c r="C273" s="31" t="str">
        <f t="shared" si="4"/>
        <v>FOLY Sherley-emmanuelle</v>
      </c>
      <c r="D273" s="31" t="s">
        <v>242</v>
      </c>
      <c r="E273" s="31" t="s">
        <v>418</v>
      </c>
    </row>
    <row r="274" spans="1:5">
      <c r="A274" s="31" t="s">
        <v>824</v>
      </c>
      <c r="B274" s="31" t="s">
        <v>282</v>
      </c>
      <c r="C274" s="31" t="str">
        <f t="shared" si="4"/>
        <v>FOURRAGE Lucas</v>
      </c>
      <c r="D274" s="31" t="s">
        <v>242</v>
      </c>
      <c r="E274" s="31" t="s">
        <v>443</v>
      </c>
    </row>
    <row r="275" spans="1:5">
      <c r="A275" s="31" t="s">
        <v>825</v>
      </c>
      <c r="B275" s="31" t="s">
        <v>826</v>
      </c>
      <c r="C275" s="31" t="str">
        <f t="shared" si="4"/>
        <v>FOURTI Sidik</v>
      </c>
      <c r="D275" s="31" t="s">
        <v>242</v>
      </c>
      <c r="E275" s="31" t="s">
        <v>2</v>
      </c>
    </row>
    <row r="276" spans="1:5">
      <c r="A276" s="31" t="s">
        <v>827</v>
      </c>
      <c r="B276" s="31" t="s">
        <v>828</v>
      </c>
      <c r="C276" s="31" t="str">
        <f t="shared" si="4"/>
        <v>FOUTOPOUO YEYAP Loic Steve</v>
      </c>
      <c r="D276" s="31" t="s">
        <v>242</v>
      </c>
      <c r="E276" s="31" t="s">
        <v>451</v>
      </c>
    </row>
    <row r="277" spans="1:5">
      <c r="A277" s="31" t="s">
        <v>829</v>
      </c>
      <c r="B277" s="31" t="s">
        <v>830</v>
      </c>
      <c r="C277" s="31" t="str">
        <f t="shared" si="4"/>
        <v>FRANCK Cyrille</v>
      </c>
      <c r="D277" s="31" t="s">
        <v>242</v>
      </c>
      <c r="E277" s="31" t="s">
        <v>243</v>
      </c>
    </row>
    <row r="278" spans="1:5">
      <c r="A278" s="31" t="s">
        <v>831</v>
      </c>
      <c r="B278" s="31" t="s">
        <v>832</v>
      </c>
      <c r="C278" s="31" t="str">
        <f t="shared" si="4"/>
        <v>GADEGBEKU Clyfton</v>
      </c>
      <c r="D278" s="31" t="s">
        <v>242</v>
      </c>
      <c r="E278" s="31" t="s">
        <v>395</v>
      </c>
    </row>
    <row r="279" spans="1:5">
      <c r="A279" s="31" t="s">
        <v>833</v>
      </c>
      <c r="B279" s="31" t="s">
        <v>834</v>
      </c>
      <c r="C279" s="31" t="str">
        <f t="shared" si="4"/>
        <v>GAJIC Alexandar</v>
      </c>
      <c r="D279" s="31" t="s">
        <v>242</v>
      </c>
      <c r="E279" s="31" t="s">
        <v>308</v>
      </c>
    </row>
    <row r="280" spans="1:5">
      <c r="A280" s="31" t="s">
        <v>835</v>
      </c>
      <c r="B280" s="31" t="s">
        <v>670</v>
      </c>
      <c r="C280" s="31" t="str">
        <f t="shared" si="4"/>
        <v>GANCI Luca</v>
      </c>
      <c r="D280" s="31" t="s">
        <v>242</v>
      </c>
      <c r="E280" s="31" t="s">
        <v>443</v>
      </c>
    </row>
    <row r="281" spans="1:5">
      <c r="A281" s="31" t="s">
        <v>836</v>
      </c>
      <c r="B281" s="31" t="s">
        <v>837</v>
      </c>
      <c r="C281" s="31" t="str">
        <f t="shared" si="4"/>
        <v>GANGBO Emmanuella</v>
      </c>
      <c r="D281" s="31" t="s">
        <v>242</v>
      </c>
      <c r="E281" s="31" t="s">
        <v>383</v>
      </c>
    </row>
    <row r="282" spans="1:5">
      <c r="A282" s="31" t="s">
        <v>838</v>
      </c>
      <c r="B282" s="31" t="s">
        <v>839</v>
      </c>
      <c r="C282" s="31" t="str">
        <f t="shared" si="4"/>
        <v>GANI RAOUF</v>
      </c>
      <c r="D282" s="31" t="s">
        <v>242</v>
      </c>
      <c r="E282" s="31" t="s">
        <v>395</v>
      </c>
    </row>
    <row r="283" spans="1:5">
      <c r="A283" s="31" t="s">
        <v>840</v>
      </c>
      <c r="B283" s="31" t="s">
        <v>841</v>
      </c>
      <c r="C283" s="31" t="str">
        <f t="shared" si="4"/>
        <v>GARCIA LOSSOU Bruno</v>
      </c>
      <c r="D283" s="31" t="s">
        <v>242</v>
      </c>
      <c r="E283" s="31" t="s">
        <v>454</v>
      </c>
    </row>
    <row r="284" spans="1:5">
      <c r="A284" s="31" t="s">
        <v>842</v>
      </c>
      <c r="B284" s="31" t="s">
        <v>843</v>
      </c>
      <c r="C284" s="31" t="str">
        <f t="shared" si="4"/>
        <v>GAREC VINCENT Leo</v>
      </c>
      <c r="D284" s="31" t="s">
        <v>242</v>
      </c>
      <c r="E284" s="31" t="s">
        <v>495</v>
      </c>
    </row>
    <row r="285" spans="1:5">
      <c r="A285" s="31" t="s">
        <v>844</v>
      </c>
      <c r="B285" s="31" t="s">
        <v>845</v>
      </c>
      <c r="C285" s="31" t="str">
        <f t="shared" si="4"/>
        <v>GASMI Grégoire</v>
      </c>
      <c r="D285" s="31" t="s">
        <v>242</v>
      </c>
      <c r="E285" s="31" t="s">
        <v>256</v>
      </c>
    </row>
    <row r="286" spans="1:5">
      <c r="A286" s="31" t="s">
        <v>846</v>
      </c>
      <c r="B286" s="31" t="s">
        <v>847</v>
      </c>
      <c r="C286" s="31" t="str">
        <f t="shared" si="4"/>
        <v>GASTAL Julien</v>
      </c>
      <c r="D286" s="31" t="s">
        <v>242</v>
      </c>
      <c r="E286" s="31" t="s">
        <v>360</v>
      </c>
    </row>
    <row r="287" spans="1:5">
      <c r="A287" s="31" t="s">
        <v>848</v>
      </c>
      <c r="B287" s="31" t="s">
        <v>849</v>
      </c>
      <c r="C287" s="31" t="str">
        <f t="shared" si="4"/>
        <v>GAUCHER Maxime</v>
      </c>
      <c r="D287" s="31" t="s">
        <v>242</v>
      </c>
      <c r="E287" s="31" t="s">
        <v>256</v>
      </c>
    </row>
    <row r="288" spans="1:5">
      <c r="A288" s="31" t="s">
        <v>850</v>
      </c>
      <c r="B288" s="31" t="s">
        <v>41</v>
      </c>
      <c r="C288" s="31" t="str">
        <f t="shared" si="4"/>
        <v>GAUCHEZ Timothée</v>
      </c>
      <c r="D288" s="31" t="s">
        <v>242</v>
      </c>
      <c r="E288" s="31" t="s">
        <v>395</v>
      </c>
    </row>
    <row r="289" spans="1:5">
      <c r="A289" s="31" t="s">
        <v>851</v>
      </c>
      <c r="B289" s="31" t="s">
        <v>852</v>
      </c>
      <c r="C289" s="31" t="str">
        <f t="shared" si="4"/>
        <v>GAUTHIER Vincent</v>
      </c>
      <c r="D289" s="31" t="s">
        <v>242</v>
      </c>
      <c r="E289" s="31" t="s">
        <v>297</v>
      </c>
    </row>
    <row r="290" spans="1:5">
      <c r="A290" s="31" t="s">
        <v>853</v>
      </c>
      <c r="B290" s="31" t="s">
        <v>854</v>
      </c>
      <c r="C290" s="31" t="str">
        <f t="shared" si="4"/>
        <v>GAUTIER Cédric</v>
      </c>
      <c r="D290" s="31" t="s">
        <v>242</v>
      </c>
      <c r="E290" s="31" t="s">
        <v>348</v>
      </c>
    </row>
    <row r="291" spans="1:5">
      <c r="A291" s="31" t="s">
        <v>853</v>
      </c>
      <c r="B291" s="31" t="s">
        <v>653</v>
      </c>
      <c r="C291" s="31" t="str">
        <f t="shared" si="4"/>
        <v>GAUTIER Louis</v>
      </c>
      <c r="D291" s="31" t="s">
        <v>242</v>
      </c>
      <c r="E291" s="31" t="s">
        <v>454</v>
      </c>
    </row>
    <row r="292" spans="1:5">
      <c r="A292" s="31" t="s">
        <v>855</v>
      </c>
      <c r="B292" s="31" t="s">
        <v>279</v>
      </c>
      <c r="C292" s="31" t="str">
        <f t="shared" si="4"/>
        <v>GAUTROT Alexandre</v>
      </c>
      <c r="D292" s="31" t="s">
        <v>242</v>
      </c>
      <c r="E292" s="31" t="s">
        <v>2</v>
      </c>
    </row>
    <row r="293" spans="1:5">
      <c r="A293" s="31" t="s">
        <v>856</v>
      </c>
      <c r="B293" s="31" t="s">
        <v>282</v>
      </c>
      <c r="C293" s="31" t="str">
        <f t="shared" si="4"/>
        <v>GAUVAIN Lucas</v>
      </c>
      <c r="D293" s="31" t="s">
        <v>242</v>
      </c>
      <c r="E293" s="31" t="s">
        <v>432</v>
      </c>
    </row>
    <row r="294" spans="1:5">
      <c r="A294" s="31" t="s">
        <v>857</v>
      </c>
      <c r="B294" s="31" t="s">
        <v>858</v>
      </c>
      <c r="C294" s="31" t="str">
        <f t="shared" si="4"/>
        <v>GEFFROY Valentin</v>
      </c>
      <c r="D294" s="31" t="s">
        <v>242</v>
      </c>
      <c r="E294" s="31" t="s">
        <v>267</v>
      </c>
    </row>
    <row r="295" spans="1:5">
      <c r="A295" s="31" t="s">
        <v>859</v>
      </c>
      <c r="B295" s="31" t="s">
        <v>847</v>
      </c>
      <c r="C295" s="31" t="str">
        <f t="shared" si="4"/>
        <v>GENEROSO Julien</v>
      </c>
      <c r="D295" s="31" t="s">
        <v>242</v>
      </c>
      <c r="E295" s="31" t="s">
        <v>406</v>
      </c>
    </row>
    <row r="296" spans="1:5">
      <c r="A296" s="31" t="s">
        <v>860</v>
      </c>
      <c r="B296" s="31" t="s">
        <v>861</v>
      </c>
      <c r="C296" s="31" t="str">
        <f t="shared" si="4"/>
        <v>GENET Bastien</v>
      </c>
      <c r="D296" s="31" t="s">
        <v>242</v>
      </c>
      <c r="E296" s="31" t="s">
        <v>412</v>
      </c>
    </row>
    <row r="297" spans="1:5">
      <c r="A297" s="31" t="s">
        <v>862</v>
      </c>
      <c r="B297" s="31" t="s">
        <v>429</v>
      </c>
      <c r="C297" s="31" t="str">
        <f t="shared" si="4"/>
        <v>GERALDO Mathis</v>
      </c>
      <c r="D297" s="31" t="s">
        <v>242</v>
      </c>
      <c r="E297" s="31" t="s">
        <v>495</v>
      </c>
    </row>
    <row r="298" spans="1:5">
      <c r="A298" s="31" t="s">
        <v>863</v>
      </c>
      <c r="B298" s="31" t="s">
        <v>864</v>
      </c>
      <c r="C298" s="31" t="str">
        <f t="shared" si="4"/>
        <v>GERARDIN Chloé</v>
      </c>
      <c r="D298" s="31" t="s">
        <v>242</v>
      </c>
      <c r="E298" s="31" t="s">
        <v>383</v>
      </c>
    </row>
    <row r="299" spans="1:5">
      <c r="A299" s="31" t="s">
        <v>865</v>
      </c>
      <c r="B299" s="31" t="s">
        <v>422</v>
      </c>
      <c r="C299" s="31" t="str">
        <f t="shared" si="4"/>
        <v>GERGEREAU Hugo</v>
      </c>
      <c r="D299" s="31" t="s">
        <v>242</v>
      </c>
      <c r="E299" s="31" t="s">
        <v>454</v>
      </c>
    </row>
    <row r="300" spans="1:5">
      <c r="A300" s="31" t="s">
        <v>292</v>
      </c>
      <c r="B300" s="31" t="s">
        <v>293</v>
      </c>
      <c r="C300" s="31" t="str">
        <f t="shared" si="4"/>
        <v>GHANDRICHE Yani</v>
      </c>
      <c r="D300" s="31" t="s">
        <v>242</v>
      </c>
      <c r="E300" s="31" t="s">
        <v>247</v>
      </c>
    </row>
    <row r="301" spans="1:5">
      <c r="A301" s="31" t="s">
        <v>866</v>
      </c>
      <c r="B301" s="31" t="s">
        <v>394</v>
      </c>
      <c r="C301" s="31" t="str">
        <f t="shared" si="4"/>
        <v>GHAZANI Benjamin</v>
      </c>
      <c r="D301" s="31" t="s">
        <v>242</v>
      </c>
      <c r="E301" s="31" t="s">
        <v>389</v>
      </c>
    </row>
    <row r="302" spans="1:5">
      <c r="A302" s="31" t="s">
        <v>867</v>
      </c>
      <c r="B302" s="31" t="s">
        <v>868</v>
      </c>
      <c r="C302" s="31" t="str">
        <f t="shared" si="4"/>
        <v>GHAZI Youssef</v>
      </c>
      <c r="D302" s="31" t="s">
        <v>242</v>
      </c>
      <c r="E302" s="31" t="s">
        <v>267</v>
      </c>
    </row>
    <row r="303" spans="1:5">
      <c r="A303" s="31" t="s">
        <v>869</v>
      </c>
      <c r="B303" s="31" t="s">
        <v>870</v>
      </c>
      <c r="C303" s="31" t="str">
        <f t="shared" si="4"/>
        <v>GHAZLAOUI Karim</v>
      </c>
      <c r="D303" s="31" t="s">
        <v>242</v>
      </c>
      <c r="E303" s="31" t="s">
        <v>360</v>
      </c>
    </row>
    <row r="304" spans="1:5">
      <c r="A304" s="31" t="s">
        <v>871</v>
      </c>
      <c r="B304" s="31" t="s">
        <v>566</v>
      </c>
      <c r="C304" s="31" t="str">
        <f t="shared" si="4"/>
        <v>GHEBRIOUA Anis</v>
      </c>
      <c r="D304" s="31" t="s">
        <v>242</v>
      </c>
      <c r="E304" s="31" t="s">
        <v>383</v>
      </c>
    </row>
    <row r="305" spans="1:5">
      <c r="A305" s="31" t="s">
        <v>872</v>
      </c>
      <c r="B305" s="31" t="s">
        <v>538</v>
      </c>
      <c r="C305" s="31" t="str">
        <f t="shared" si="4"/>
        <v>GHERBI Enzo</v>
      </c>
      <c r="D305" s="31" t="s">
        <v>242</v>
      </c>
      <c r="E305" s="31" t="s">
        <v>389</v>
      </c>
    </row>
    <row r="306" spans="1:5">
      <c r="A306" s="31" t="s">
        <v>873</v>
      </c>
      <c r="B306" s="31" t="s">
        <v>858</v>
      </c>
      <c r="C306" s="31" t="str">
        <f t="shared" si="4"/>
        <v>GILAIN Valentin</v>
      </c>
      <c r="D306" s="31" t="s">
        <v>242</v>
      </c>
      <c r="E306" s="31" t="s">
        <v>308</v>
      </c>
    </row>
    <row r="307" spans="1:5">
      <c r="A307" s="31" t="s">
        <v>874</v>
      </c>
      <c r="B307" s="31" t="s">
        <v>875</v>
      </c>
      <c r="C307" s="31" t="str">
        <f t="shared" si="4"/>
        <v>GILBERT William</v>
      </c>
      <c r="D307" s="31" t="s">
        <v>242</v>
      </c>
      <c r="E307" s="31" t="s">
        <v>395</v>
      </c>
    </row>
    <row r="308" spans="1:5">
      <c r="A308" s="31" t="s">
        <v>876</v>
      </c>
      <c r="B308" s="31" t="s">
        <v>877</v>
      </c>
      <c r="C308" s="31" t="str">
        <f t="shared" si="4"/>
        <v>GLEYE Victorien</v>
      </c>
      <c r="D308" s="31" t="s">
        <v>242</v>
      </c>
      <c r="E308" s="31" t="s">
        <v>267</v>
      </c>
    </row>
    <row r="309" spans="1:5">
      <c r="A309" s="31" t="s">
        <v>878</v>
      </c>
      <c r="B309" s="31" t="s">
        <v>524</v>
      </c>
      <c r="C309" s="31" t="str">
        <f t="shared" si="4"/>
        <v>GODIER Théo</v>
      </c>
      <c r="D309" s="31" t="s">
        <v>242</v>
      </c>
      <c r="E309" s="31" t="s">
        <v>443</v>
      </c>
    </row>
    <row r="310" spans="1:5">
      <c r="A310" s="31" t="s">
        <v>879</v>
      </c>
      <c r="B310" s="31" t="s">
        <v>880</v>
      </c>
      <c r="C310" s="31" t="str">
        <f t="shared" si="4"/>
        <v>GODINOT Jules</v>
      </c>
      <c r="D310" s="31" t="s">
        <v>242</v>
      </c>
      <c r="E310" s="31" t="s">
        <v>371</v>
      </c>
    </row>
    <row r="311" spans="1:5">
      <c r="A311" s="31" t="s">
        <v>881</v>
      </c>
      <c r="B311" s="31" t="s">
        <v>882</v>
      </c>
      <c r="C311" s="31" t="str">
        <f t="shared" si="4"/>
        <v>GOMA MIMBA Jessie</v>
      </c>
      <c r="D311" s="31" t="s">
        <v>242</v>
      </c>
      <c r="E311" s="31" t="s">
        <v>412</v>
      </c>
    </row>
    <row r="312" spans="1:5">
      <c r="A312" s="31" t="s">
        <v>883</v>
      </c>
      <c r="B312" s="31" t="s">
        <v>884</v>
      </c>
      <c r="C312" s="31" t="str">
        <f t="shared" si="4"/>
        <v>GOMES DE SOUSA Vitor</v>
      </c>
      <c r="D312" s="31" t="s">
        <v>242</v>
      </c>
      <c r="E312" s="31" t="s">
        <v>348</v>
      </c>
    </row>
    <row r="313" spans="1:5">
      <c r="A313" s="31" t="s">
        <v>885</v>
      </c>
      <c r="B313" s="31" t="s">
        <v>841</v>
      </c>
      <c r="C313" s="31" t="str">
        <f t="shared" si="4"/>
        <v>GOMES PEIXOTO Bruno</v>
      </c>
      <c r="D313" s="31" t="s">
        <v>242</v>
      </c>
      <c r="E313" s="31" t="s">
        <v>243</v>
      </c>
    </row>
    <row r="314" spans="1:5">
      <c r="A314" s="31" t="s">
        <v>886</v>
      </c>
      <c r="B314" s="31" t="s">
        <v>285</v>
      </c>
      <c r="C314" s="31" t="str">
        <f t="shared" si="4"/>
        <v>GOMEZ Thomas</v>
      </c>
      <c r="D314" s="31" t="s">
        <v>242</v>
      </c>
      <c r="E314" s="31" t="s">
        <v>256</v>
      </c>
    </row>
    <row r="315" spans="1:5">
      <c r="A315" s="31" t="s">
        <v>887</v>
      </c>
      <c r="B315" s="31" t="s">
        <v>888</v>
      </c>
      <c r="C315" s="31" t="str">
        <f t="shared" si="4"/>
        <v>GRANDIDIER Merlin</v>
      </c>
      <c r="D315" s="31" t="s">
        <v>242</v>
      </c>
      <c r="E315" s="31" t="s">
        <v>256</v>
      </c>
    </row>
    <row r="316" spans="1:5">
      <c r="A316" s="31" t="s">
        <v>889</v>
      </c>
      <c r="B316" s="31" t="s">
        <v>890</v>
      </c>
      <c r="C316" s="31" t="str">
        <f t="shared" si="4"/>
        <v>GRAVELEAU Matthis</v>
      </c>
      <c r="D316" s="31" t="s">
        <v>242</v>
      </c>
      <c r="E316" s="31" t="s">
        <v>308</v>
      </c>
    </row>
    <row r="317" spans="1:5">
      <c r="A317" s="31" t="s">
        <v>891</v>
      </c>
      <c r="B317" s="31" t="s">
        <v>282</v>
      </c>
      <c r="C317" s="31" t="str">
        <f t="shared" si="4"/>
        <v>GREGORIO Lucas</v>
      </c>
      <c r="D317" s="31" t="s">
        <v>242</v>
      </c>
      <c r="E317" s="31" t="s">
        <v>495</v>
      </c>
    </row>
    <row r="318" spans="1:5">
      <c r="A318" s="31" t="s">
        <v>892</v>
      </c>
      <c r="B318" s="31" t="s">
        <v>538</v>
      </c>
      <c r="C318" s="31" t="str">
        <f t="shared" si="4"/>
        <v>GRENECHE Enzo</v>
      </c>
      <c r="D318" s="31" t="s">
        <v>242</v>
      </c>
      <c r="E318" s="31" t="s">
        <v>377</v>
      </c>
    </row>
    <row r="319" spans="1:5">
      <c r="A319" s="31" t="s">
        <v>893</v>
      </c>
      <c r="B319" s="31" t="s">
        <v>894</v>
      </c>
      <c r="C319" s="31" t="str">
        <f t="shared" si="4"/>
        <v>GRIMBERG Mélissa</v>
      </c>
      <c r="D319" s="31" t="s">
        <v>242</v>
      </c>
      <c r="E319" s="31" t="s">
        <v>406</v>
      </c>
    </row>
    <row r="320" spans="1:5">
      <c r="A320" s="31" t="s">
        <v>895</v>
      </c>
      <c r="B320" s="31" t="s">
        <v>896</v>
      </c>
      <c r="C320" s="31" t="str">
        <f t="shared" si="4"/>
        <v>GRISORIO Sonny</v>
      </c>
      <c r="D320" s="31" t="s">
        <v>242</v>
      </c>
      <c r="E320" s="31" t="s">
        <v>451</v>
      </c>
    </row>
    <row r="321" spans="1:5">
      <c r="A321" s="31" t="s">
        <v>897</v>
      </c>
      <c r="B321" s="31" t="s">
        <v>898</v>
      </c>
      <c r="C321" s="31" t="str">
        <f t="shared" si="4"/>
        <v>GROUILLER Mathys</v>
      </c>
      <c r="D321" s="31" t="s">
        <v>242</v>
      </c>
      <c r="E321" s="31" t="s">
        <v>297</v>
      </c>
    </row>
    <row r="322" spans="1:5">
      <c r="A322" s="31" t="s">
        <v>899</v>
      </c>
      <c r="B322" s="31" t="s">
        <v>653</v>
      </c>
      <c r="C322" s="31" t="str">
        <f t="shared" si="4"/>
        <v>GUEGUEN Louis</v>
      </c>
      <c r="D322" s="31" t="s">
        <v>242</v>
      </c>
      <c r="E322" s="31" t="s">
        <v>495</v>
      </c>
    </row>
    <row r="323" spans="1:5">
      <c r="A323" s="31" t="s">
        <v>900</v>
      </c>
      <c r="B323" s="31" t="s">
        <v>901</v>
      </c>
      <c r="C323" s="31" t="str">
        <f t="shared" ref="C323:C386" si="5">_xlfn.CONCAT(A323, " ",B323)</f>
        <v>GUELLIL Mostafa</v>
      </c>
      <c r="D323" s="31" t="s">
        <v>242</v>
      </c>
      <c r="E323" s="31" t="s">
        <v>454</v>
      </c>
    </row>
    <row r="324" spans="1:5">
      <c r="A324" s="31" t="s">
        <v>902</v>
      </c>
      <c r="B324" s="31" t="s">
        <v>903</v>
      </c>
      <c r="C324" s="31" t="str">
        <f t="shared" si="5"/>
        <v>GUEMMAR Lisa</v>
      </c>
      <c r="D324" s="31" t="s">
        <v>242</v>
      </c>
      <c r="E324" s="31" t="s">
        <v>2</v>
      </c>
    </row>
    <row r="325" spans="1:5">
      <c r="A325" s="31" t="s">
        <v>904</v>
      </c>
      <c r="B325" s="31" t="s">
        <v>494</v>
      </c>
      <c r="C325" s="31" t="str">
        <f t="shared" si="5"/>
        <v>GUENDOUZ Mehdi</v>
      </c>
      <c r="D325" s="31" t="s">
        <v>242</v>
      </c>
      <c r="E325" s="31" t="s">
        <v>308</v>
      </c>
    </row>
    <row r="326" spans="1:5">
      <c r="A326" s="31" t="s">
        <v>905</v>
      </c>
      <c r="B326" s="31" t="s">
        <v>906</v>
      </c>
      <c r="C326" s="31" t="str">
        <f t="shared" si="5"/>
        <v>GUENNOUNI Selsabil</v>
      </c>
      <c r="D326" s="31" t="s">
        <v>242</v>
      </c>
      <c r="E326" s="31" t="s">
        <v>443</v>
      </c>
    </row>
    <row r="327" spans="1:5">
      <c r="A327" s="31" t="s">
        <v>907</v>
      </c>
      <c r="B327" s="31" t="s">
        <v>598</v>
      </c>
      <c r="C327" s="31" t="str">
        <f t="shared" si="5"/>
        <v>GUERIN Nicolas</v>
      </c>
      <c r="D327" s="31" t="s">
        <v>242</v>
      </c>
      <c r="E327" s="31" t="s">
        <v>348</v>
      </c>
    </row>
    <row r="328" spans="1:5">
      <c r="A328" s="31" t="s">
        <v>908</v>
      </c>
      <c r="B328" s="31" t="s">
        <v>909</v>
      </c>
      <c r="C328" s="31" t="str">
        <f t="shared" si="5"/>
        <v>GUERMOUCHE Youcef</v>
      </c>
      <c r="D328" s="31" t="s">
        <v>242</v>
      </c>
      <c r="E328" s="31" t="s">
        <v>354</v>
      </c>
    </row>
    <row r="329" spans="1:5">
      <c r="A329" s="31" t="s">
        <v>910</v>
      </c>
      <c r="B329" s="31" t="s">
        <v>868</v>
      </c>
      <c r="C329" s="31" t="str">
        <f t="shared" si="5"/>
        <v>GUERNIOU Youssef</v>
      </c>
      <c r="D329" s="31" t="s">
        <v>242</v>
      </c>
      <c r="E329" s="31" t="s">
        <v>418</v>
      </c>
    </row>
    <row r="330" spans="1:5">
      <c r="A330" s="31" t="s">
        <v>911</v>
      </c>
      <c r="B330" s="31" t="s">
        <v>736</v>
      </c>
      <c r="C330" s="31" t="str">
        <f t="shared" si="5"/>
        <v>GUETTA Aaron</v>
      </c>
      <c r="D330" s="31" t="s">
        <v>242</v>
      </c>
      <c r="E330" s="31" t="s">
        <v>406</v>
      </c>
    </row>
    <row r="331" spans="1:5">
      <c r="A331" s="31" t="s">
        <v>912</v>
      </c>
      <c r="B331" s="31" t="s">
        <v>913</v>
      </c>
      <c r="C331" s="31" t="str">
        <f t="shared" si="5"/>
        <v>GUEYE Mame Diarra Bousso</v>
      </c>
      <c r="D331" s="31" t="s">
        <v>242</v>
      </c>
      <c r="E331" s="31" t="s">
        <v>432</v>
      </c>
    </row>
    <row r="332" spans="1:5">
      <c r="A332" s="31" t="s">
        <v>912</v>
      </c>
      <c r="B332" s="31" t="s">
        <v>914</v>
      </c>
      <c r="C332" s="31" t="str">
        <f t="shared" si="5"/>
        <v>GUEYE Aby</v>
      </c>
      <c r="D332" s="31" t="s">
        <v>242</v>
      </c>
      <c r="E332" s="31" t="s">
        <v>383</v>
      </c>
    </row>
    <row r="333" spans="1:5">
      <c r="A333" s="31" t="s">
        <v>915</v>
      </c>
      <c r="B333" s="31" t="s">
        <v>285</v>
      </c>
      <c r="C333" s="31" t="str">
        <f t="shared" si="5"/>
        <v>GUILLAUME Thomas</v>
      </c>
      <c r="D333" s="31" t="s">
        <v>242</v>
      </c>
      <c r="E333" s="31" t="s">
        <v>289</v>
      </c>
    </row>
    <row r="334" spans="1:5">
      <c r="A334" s="31" t="s">
        <v>916</v>
      </c>
      <c r="B334" s="31" t="s">
        <v>385</v>
      </c>
      <c r="C334" s="31" t="str">
        <f t="shared" si="5"/>
        <v>GUILLOU Romain</v>
      </c>
      <c r="D334" s="31" t="s">
        <v>242</v>
      </c>
      <c r="E334" s="31" t="s">
        <v>354</v>
      </c>
    </row>
    <row r="335" spans="1:5">
      <c r="A335" s="31" t="s">
        <v>917</v>
      </c>
      <c r="B335" s="31" t="s">
        <v>821</v>
      </c>
      <c r="C335" s="31" t="str">
        <f t="shared" si="5"/>
        <v>GUNTHER Yvan</v>
      </c>
      <c r="D335" s="31" t="s">
        <v>242</v>
      </c>
      <c r="E335" s="31" t="s">
        <v>261</v>
      </c>
    </row>
    <row r="336" spans="1:5">
      <c r="A336" s="31" t="s">
        <v>918</v>
      </c>
      <c r="B336" s="31" t="s">
        <v>919</v>
      </c>
      <c r="C336" s="31" t="str">
        <f t="shared" si="5"/>
        <v>GURIN Daniil</v>
      </c>
      <c r="D336" s="31" t="s">
        <v>242</v>
      </c>
      <c r="E336" s="31" t="s">
        <v>371</v>
      </c>
    </row>
    <row r="337" spans="1:5">
      <c r="A337" s="31" t="s">
        <v>920</v>
      </c>
      <c r="B337" s="31" t="s">
        <v>921</v>
      </c>
      <c r="C337" s="31" t="str">
        <f t="shared" si="5"/>
        <v>GUYMARC Pol</v>
      </c>
      <c r="D337" s="31" t="s">
        <v>242</v>
      </c>
      <c r="E337" s="31" t="s">
        <v>354</v>
      </c>
    </row>
    <row r="338" spans="1:5">
      <c r="A338" s="31" t="s">
        <v>922</v>
      </c>
      <c r="B338" s="31" t="s">
        <v>458</v>
      </c>
      <c r="C338" s="31" t="str">
        <f t="shared" si="5"/>
        <v>GUYOT Clément</v>
      </c>
      <c r="D338" s="31" t="s">
        <v>242</v>
      </c>
      <c r="E338" s="31" t="s">
        <v>418</v>
      </c>
    </row>
    <row r="339" spans="1:5">
      <c r="A339" s="31" t="s">
        <v>923</v>
      </c>
      <c r="B339" s="31" t="s">
        <v>924</v>
      </c>
      <c r="C339" s="31" t="str">
        <f t="shared" si="5"/>
        <v>HABHAB Mayssa</v>
      </c>
      <c r="D339" s="31" t="s">
        <v>242</v>
      </c>
      <c r="E339" s="31" t="s">
        <v>308</v>
      </c>
    </row>
    <row r="340" spans="1:5">
      <c r="A340" s="31" t="s">
        <v>298</v>
      </c>
      <c r="B340" s="31" t="s">
        <v>299</v>
      </c>
      <c r="C340" s="31" t="str">
        <f t="shared" si="5"/>
        <v>HACHANI WAIL</v>
      </c>
      <c r="D340" s="31" t="s">
        <v>242</v>
      </c>
      <c r="E340" s="31" t="s">
        <v>247</v>
      </c>
    </row>
    <row r="341" spans="1:5">
      <c r="A341" s="31" t="s">
        <v>925</v>
      </c>
      <c r="B341" s="31" t="s">
        <v>926</v>
      </c>
      <c r="C341" s="31" t="str">
        <f t="shared" si="5"/>
        <v>HADJADJ Inès</v>
      </c>
      <c r="D341" s="31" t="s">
        <v>242</v>
      </c>
      <c r="E341" s="31" t="s">
        <v>289</v>
      </c>
    </row>
    <row r="342" spans="1:5">
      <c r="A342" s="31" t="s">
        <v>927</v>
      </c>
      <c r="B342" s="31" t="s">
        <v>928</v>
      </c>
      <c r="C342" s="31" t="str">
        <f t="shared" si="5"/>
        <v>HADJI Issam</v>
      </c>
      <c r="D342" s="31" t="s">
        <v>242</v>
      </c>
      <c r="E342" s="31" t="s">
        <v>443</v>
      </c>
    </row>
    <row r="343" spans="1:5">
      <c r="A343" s="31" t="s">
        <v>929</v>
      </c>
      <c r="B343" s="31" t="s">
        <v>930</v>
      </c>
      <c r="C343" s="31" t="str">
        <f t="shared" si="5"/>
        <v>HADJRES Mourad</v>
      </c>
      <c r="D343" s="31" t="s">
        <v>242</v>
      </c>
      <c r="E343" s="31" t="s">
        <v>536</v>
      </c>
    </row>
    <row r="344" spans="1:5">
      <c r="A344" s="31" t="s">
        <v>931</v>
      </c>
      <c r="B344" s="31" t="s">
        <v>932</v>
      </c>
      <c r="C344" s="31" t="str">
        <f t="shared" si="5"/>
        <v>HAFFOUD Yassine</v>
      </c>
      <c r="D344" s="31" t="s">
        <v>242</v>
      </c>
      <c r="E344" s="31" t="s">
        <v>536</v>
      </c>
    </row>
    <row r="345" spans="1:5">
      <c r="A345" s="31" t="s">
        <v>933</v>
      </c>
      <c r="B345" s="31" t="s">
        <v>934</v>
      </c>
      <c r="C345" s="31" t="str">
        <f t="shared" si="5"/>
        <v>HAJJAJ Wissem</v>
      </c>
      <c r="D345" s="31" t="s">
        <v>242</v>
      </c>
      <c r="E345" s="31" t="s">
        <v>308</v>
      </c>
    </row>
    <row r="346" spans="1:5">
      <c r="A346" s="31" t="s">
        <v>935</v>
      </c>
      <c r="B346" s="31" t="s">
        <v>740</v>
      </c>
      <c r="C346" s="31" t="str">
        <f t="shared" si="5"/>
        <v>HAJJI Walid</v>
      </c>
      <c r="D346" s="31" t="s">
        <v>242</v>
      </c>
      <c r="E346" s="31" t="s">
        <v>446</v>
      </c>
    </row>
    <row r="347" spans="1:5">
      <c r="A347" s="31" t="s">
        <v>936</v>
      </c>
      <c r="B347" s="31" t="s">
        <v>937</v>
      </c>
      <c r="C347" s="31" t="str">
        <f t="shared" si="5"/>
        <v>HALBELAID Adam</v>
      </c>
      <c r="D347" s="31" t="s">
        <v>242</v>
      </c>
      <c r="E347" s="31" t="s">
        <v>454</v>
      </c>
    </row>
    <row r="348" spans="1:5">
      <c r="A348" s="31" t="s">
        <v>938</v>
      </c>
      <c r="B348" s="31" t="s">
        <v>939</v>
      </c>
      <c r="C348" s="31" t="str">
        <f t="shared" si="5"/>
        <v>HAMDI Samir</v>
      </c>
      <c r="D348" s="31" t="s">
        <v>242</v>
      </c>
      <c r="E348" s="31" t="s">
        <v>495</v>
      </c>
    </row>
    <row r="349" spans="1:5">
      <c r="A349" s="31" t="s">
        <v>940</v>
      </c>
      <c r="B349" s="31" t="s">
        <v>847</v>
      </c>
      <c r="C349" s="31" t="str">
        <f t="shared" si="5"/>
        <v>HAMEL Julien</v>
      </c>
      <c r="D349" s="31" t="s">
        <v>242</v>
      </c>
      <c r="E349" s="31" t="s">
        <v>243</v>
      </c>
    </row>
    <row r="350" spans="1:5">
      <c r="A350" s="31" t="s">
        <v>941</v>
      </c>
      <c r="B350" s="31" t="s">
        <v>942</v>
      </c>
      <c r="C350" s="31" t="str">
        <f t="shared" si="5"/>
        <v>HAMOUCHI Omar</v>
      </c>
      <c r="D350" s="31" t="s">
        <v>242</v>
      </c>
      <c r="E350" s="31" t="s">
        <v>412</v>
      </c>
    </row>
    <row r="351" spans="1:5">
      <c r="A351" s="31" t="s">
        <v>943</v>
      </c>
      <c r="B351" s="31" t="s">
        <v>944</v>
      </c>
      <c r="C351" s="31" t="str">
        <f t="shared" si="5"/>
        <v>HAMZAOUI Celina</v>
      </c>
      <c r="D351" s="31" t="s">
        <v>242</v>
      </c>
      <c r="E351" s="31" t="s">
        <v>383</v>
      </c>
    </row>
    <row r="352" spans="1:5">
      <c r="A352" s="31" t="s">
        <v>943</v>
      </c>
      <c r="B352" s="31" t="s">
        <v>945</v>
      </c>
      <c r="C352" s="31" t="str">
        <f t="shared" si="5"/>
        <v>HAMZAOUI Assia</v>
      </c>
      <c r="D352" s="31" t="s">
        <v>242</v>
      </c>
      <c r="E352" s="31" t="s">
        <v>383</v>
      </c>
    </row>
    <row r="353" spans="1:5">
      <c r="A353" s="31" t="s">
        <v>946</v>
      </c>
      <c r="B353" s="31" t="s">
        <v>947</v>
      </c>
      <c r="C353" s="31" t="str">
        <f t="shared" si="5"/>
        <v>HANANA Hatem</v>
      </c>
      <c r="D353" s="31" t="s">
        <v>242</v>
      </c>
      <c r="E353" s="31" t="s">
        <v>406</v>
      </c>
    </row>
    <row r="354" spans="1:5">
      <c r="A354" s="31" t="s">
        <v>948</v>
      </c>
      <c r="B354" s="31" t="s">
        <v>949</v>
      </c>
      <c r="C354" s="31" t="str">
        <f t="shared" si="5"/>
        <v>HANNARD Nolan</v>
      </c>
      <c r="D354" s="31" t="s">
        <v>242</v>
      </c>
      <c r="E354" s="31" t="s">
        <v>297</v>
      </c>
    </row>
    <row r="355" spans="1:5">
      <c r="A355" s="31" t="s">
        <v>950</v>
      </c>
      <c r="B355" s="31" t="s">
        <v>951</v>
      </c>
      <c r="C355" s="31" t="str">
        <f t="shared" si="5"/>
        <v>HAOUAS Rayan</v>
      </c>
      <c r="D355" s="31" t="s">
        <v>242</v>
      </c>
      <c r="E355" s="31" t="s">
        <v>432</v>
      </c>
    </row>
    <row r="356" spans="1:5">
      <c r="A356" s="31" t="s">
        <v>952</v>
      </c>
      <c r="B356" s="31" t="s">
        <v>293</v>
      </c>
      <c r="C356" s="31" t="str">
        <f t="shared" si="5"/>
        <v>HAOUILI Yani</v>
      </c>
      <c r="D356" s="31" t="s">
        <v>242</v>
      </c>
      <c r="E356" s="31" t="s">
        <v>536</v>
      </c>
    </row>
    <row r="357" spans="1:5">
      <c r="A357" s="31" t="s">
        <v>953</v>
      </c>
      <c r="B357" s="31" t="s">
        <v>954</v>
      </c>
      <c r="C357" s="31" t="str">
        <f t="shared" si="5"/>
        <v>HARBI Ons</v>
      </c>
      <c r="D357" s="31" t="s">
        <v>242</v>
      </c>
      <c r="E357" s="31" t="s">
        <v>250</v>
      </c>
    </row>
    <row r="358" spans="1:5">
      <c r="A358" s="31" t="s">
        <v>955</v>
      </c>
      <c r="B358" s="31" t="s">
        <v>956</v>
      </c>
      <c r="C358" s="31" t="str">
        <f t="shared" si="5"/>
        <v>HAROUN Islem</v>
      </c>
      <c r="D358" s="31" t="s">
        <v>242</v>
      </c>
      <c r="E358" s="31" t="s">
        <v>536</v>
      </c>
    </row>
    <row r="359" spans="1:5">
      <c r="A359" s="31" t="s">
        <v>957</v>
      </c>
      <c r="B359" s="31" t="s">
        <v>538</v>
      </c>
      <c r="C359" s="31" t="str">
        <f t="shared" si="5"/>
        <v>HARTY DE PIERREBOURG Enzo</v>
      </c>
      <c r="D359" s="31" t="s">
        <v>242</v>
      </c>
      <c r="E359" s="31" t="s">
        <v>360</v>
      </c>
    </row>
    <row r="360" spans="1:5">
      <c r="A360" s="31" t="s">
        <v>958</v>
      </c>
      <c r="B360" s="31" t="s">
        <v>445</v>
      </c>
      <c r="C360" s="31" t="str">
        <f t="shared" si="5"/>
        <v>HASNAOUI Nassim</v>
      </c>
      <c r="D360" s="31" t="s">
        <v>242</v>
      </c>
      <c r="E360" s="31" t="s">
        <v>451</v>
      </c>
    </row>
    <row r="361" spans="1:5">
      <c r="A361" s="31" t="s">
        <v>959</v>
      </c>
      <c r="B361" s="31" t="s">
        <v>960</v>
      </c>
      <c r="C361" s="31" t="str">
        <f t="shared" si="5"/>
        <v>HASSAS Mohammed-Omar</v>
      </c>
      <c r="D361" s="31" t="s">
        <v>242</v>
      </c>
      <c r="E361" s="31" t="s">
        <v>451</v>
      </c>
    </row>
    <row r="362" spans="1:5">
      <c r="A362" s="31" t="s">
        <v>961</v>
      </c>
      <c r="B362" s="31" t="s">
        <v>561</v>
      </c>
      <c r="C362" s="31" t="str">
        <f t="shared" si="5"/>
        <v>HATAM Amir</v>
      </c>
      <c r="D362" s="31" t="s">
        <v>242</v>
      </c>
      <c r="E362" s="31" t="s">
        <v>2</v>
      </c>
    </row>
    <row r="363" spans="1:5">
      <c r="A363" s="31" t="s">
        <v>962</v>
      </c>
      <c r="B363" s="31" t="s">
        <v>963</v>
      </c>
      <c r="C363" s="31" t="str">
        <f t="shared" si="5"/>
        <v>HELLAL Lynda</v>
      </c>
      <c r="D363" s="31" t="s">
        <v>242</v>
      </c>
      <c r="E363" s="31" t="s">
        <v>308</v>
      </c>
    </row>
    <row r="364" spans="1:5">
      <c r="A364" s="31" t="s">
        <v>964</v>
      </c>
      <c r="B364" s="31" t="s">
        <v>965</v>
      </c>
      <c r="C364" s="31" t="str">
        <f t="shared" si="5"/>
        <v>HELLEGOUARCH Juluan</v>
      </c>
      <c r="D364" s="31" t="s">
        <v>242</v>
      </c>
      <c r="E364" s="31" t="s">
        <v>308</v>
      </c>
    </row>
    <row r="365" spans="1:5">
      <c r="A365" s="31" t="s">
        <v>966</v>
      </c>
      <c r="B365" s="31" t="s">
        <v>967</v>
      </c>
      <c r="C365" s="31" t="str">
        <f t="shared" si="5"/>
        <v>HEMAZ Abdelillah abdelkader</v>
      </c>
      <c r="D365" s="31" t="s">
        <v>242</v>
      </c>
      <c r="E365" s="31" t="s">
        <v>454</v>
      </c>
    </row>
    <row r="366" spans="1:5">
      <c r="A366" s="31" t="s">
        <v>968</v>
      </c>
      <c r="B366" s="31" t="s">
        <v>817</v>
      </c>
      <c r="C366" s="31" t="str">
        <f t="shared" si="5"/>
        <v>HEMBERT Arthur</v>
      </c>
      <c r="D366" s="31" t="s">
        <v>242</v>
      </c>
      <c r="E366" s="31" t="s">
        <v>283</v>
      </c>
    </row>
    <row r="367" spans="1:5">
      <c r="A367" s="31" t="s">
        <v>969</v>
      </c>
      <c r="B367" s="31" t="s">
        <v>408</v>
      </c>
      <c r="C367" s="31" t="str">
        <f t="shared" si="5"/>
        <v>HENNOU Fatima</v>
      </c>
      <c r="D367" s="31" t="s">
        <v>242</v>
      </c>
      <c r="E367" s="31" t="s">
        <v>243</v>
      </c>
    </row>
    <row r="368" spans="1:5">
      <c r="A368" s="31" t="s">
        <v>970</v>
      </c>
      <c r="B368" s="31" t="s">
        <v>971</v>
      </c>
      <c r="C368" s="31" t="str">
        <f t="shared" si="5"/>
        <v>HERIBI Adel</v>
      </c>
      <c r="D368" s="31" t="s">
        <v>242</v>
      </c>
      <c r="E368" s="31" t="s">
        <v>354</v>
      </c>
    </row>
    <row r="369" spans="1:5">
      <c r="A369" s="31" t="s">
        <v>972</v>
      </c>
      <c r="B369" s="31" t="s">
        <v>973</v>
      </c>
      <c r="C369" s="31" t="str">
        <f t="shared" si="5"/>
        <v>HIAUMET Mattéo</v>
      </c>
      <c r="D369" s="31" t="s">
        <v>242</v>
      </c>
      <c r="E369" s="31" t="s">
        <v>418</v>
      </c>
    </row>
    <row r="370" spans="1:5">
      <c r="A370" s="31" t="s">
        <v>974</v>
      </c>
      <c r="B370" s="31" t="s">
        <v>507</v>
      </c>
      <c r="C370" s="31" t="str">
        <f t="shared" si="5"/>
        <v>HMAIMID Kamel</v>
      </c>
      <c r="D370" s="31" t="s">
        <v>242</v>
      </c>
      <c r="E370" s="31" t="s">
        <v>256</v>
      </c>
    </row>
    <row r="371" spans="1:5">
      <c r="A371" s="31" t="s">
        <v>975</v>
      </c>
      <c r="B371" s="31" t="s">
        <v>976</v>
      </c>
      <c r="C371" s="31" t="str">
        <f t="shared" si="5"/>
        <v>HO Vo Minhkhue</v>
      </c>
      <c r="D371" s="31" t="s">
        <v>242</v>
      </c>
      <c r="E371" s="31" t="s">
        <v>243</v>
      </c>
    </row>
    <row r="372" spans="1:5">
      <c r="A372" s="31" t="s">
        <v>977</v>
      </c>
      <c r="B372" s="31" t="s">
        <v>285</v>
      </c>
      <c r="C372" s="31" t="str">
        <f t="shared" si="5"/>
        <v>HÖRLING Thomas</v>
      </c>
      <c r="D372" s="31" t="s">
        <v>242</v>
      </c>
      <c r="E372" s="31" t="s">
        <v>283</v>
      </c>
    </row>
    <row r="373" spans="1:5">
      <c r="A373" s="31" t="s">
        <v>978</v>
      </c>
      <c r="B373" s="31" t="s">
        <v>979</v>
      </c>
      <c r="C373" s="31" t="str">
        <f t="shared" si="5"/>
        <v>HOUGUERES Stephan</v>
      </c>
      <c r="D373" s="31" t="s">
        <v>242</v>
      </c>
      <c r="E373" s="31" t="s">
        <v>2</v>
      </c>
    </row>
    <row r="374" spans="1:5">
      <c r="A374" s="31" t="s">
        <v>980</v>
      </c>
      <c r="B374" s="31" t="s">
        <v>702</v>
      </c>
      <c r="C374" s="31" t="str">
        <f t="shared" si="5"/>
        <v>HOURTOULE Guillaume</v>
      </c>
      <c r="D374" s="31" t="s">
        <v>242</v>
      </c>
      <c r="E374" s="31" t="s">
        <v>360</v>
      </c>
    </row>
    <row r="375" spans="1:5">
      <c r="A375" s="31" t="s">
        <v>981</v>
      </c>
      <c r="B375" s="31" t="s">
        <v>982</v>
      </c>
      <c r="C375" s="31" t="str">
        <f t="shared" si="5"/>
        <v>HOZA Claudiu-Marian</v>
      </c>
      <c r="D375" s="31" t="s">
        <v>242</v>
      </c>
      <c r="E375" s="31" t="s">
        <v>289</v>
      </c>
    </row>
    <row r="376" spans="1:5">
      <c r="A376" s="31" t="s">
        <v>983</v>
      </c>
      <c r="B376" s="31" t="s">
        <v>903</v>
      </c>
      <c r="C376" s="31" t="str">
        <f t="shared" si="5"/>
        <v>HURTAUD Lisa</v>
      </c>
      <c r="D376" s="31" t="s">
        <v>242</v>
      </c>
      <c r="E376" s="31" t="s">
        <v>371</v>
      </c>
    </row>
    <row r="377" spans="1:5">
      <c r="A377" s="31" t="s">
        <v>984</v>
      </c>
      <c r="B377" s="31" t="s">
        <v>663</v>
      </c>
      <c r="C377" s="31" t="str">
        <f t="shared" si="5"/>
        <v>HUYNH Jérémy</v>
      </c>
      <c r="D377" s="31" t="s">
        <v>242</v>
      </c>
      <c r="E377" s="31" t="s">
        <v>418</v>
      </c>
    </row>
    <row r="378" spans="1:5">
      <c r="A378" s="31" t="s">
        <v>985</v>
      </c>
      <c r="B378" s="31" t="s">
        <v>986</v>
      </c>
      <c r="C378" s="31" t="str">
        <f t="shared" si="5"/>
        <v>HYDARA Aboubakar</v>
      </c>
      <c r="D378" s="31" t="s">
        <v>242</v>
      </c>
      <c r="E378" s="31" t="s">
        <v>348</v>
      </c>
    </row>
    <row r="379" spans="1:5">
      <c r="A379" s="31" t="s">
        <v>987</v>
      </c>
      <c r="B379" s="31" t="s">
        <v>988</v>
      </c>
      <c r="C379" s="31" t="str">
        <f t="shared" si="5"/>
        <v>HYVERNAT Hafsa</v>
      </c>
      <c r="D379" s="31" t="s">
        <v>242</v>
      </c>
      <c r="E379" s="31" t="s">
        <v>338</v>
      </c>
    </row>
    <row r="380" spans="1:5">
      <c r="A380" s="31" t="s">
        <v>989</v>
      </c>
      <c r="B380" s="31" t="s">
        <v>990</v>
      </c>
      <c r="C380" s="31" t="str">
        <f t="shared" si="5"/>
        <v>IBARA Ferreol Smaine</v>
      </c>
      <c r="D380" s="31" t="s">
        <v>242</v>
      </c>
      <c r="E380" s="31" t="s">
        <v>289</v>
      </c>
    </row>
    <row r="381" spans="1:5">
      <c r="A381" s="31" t="s">
        <v>991</v>
      </c>
      <c r="B381" s="31" t="s">
        <v>786</v>
      </c>
      <c r="C381" s="31" t="str">
        <f t="shared" si="5"/>
        <v>ICHOU Sofiane</v>
      </c>
      <c r="D381" s="31" t="s">
        <v>242</v>
      </c>
      <c r="E381" s="31" t="s">
        <v>536</v>
      </c>
    </row>
    <row r="382" spans="1:5">
      <c r="A382" s="31" t="s">
        <v>992</v>
      </c>
      <c r="B382" s="31" t="s">
        <v>993</v>
      </c>
      <c r="C382" s="31" t="str">
        <f t="shared" si="5"/>
        <v>ID AHMED Ines</v>
      </c>
      <c r="D382" s="31" t="s">
        <v>242</v>
      </c>
      <c r="E382" s="31" t="s">
        <v>395</v>
      </c>
    </row>
    <row r="383" spans="1:5">
      <c r="A383" s="31" t="s">
        <v>994</v>
      </c>
      <c r="B383" s="31" t="s">
        <v>331</v>
      </c>
      <c r="C383" s="31" t="str">
        <f t="shared" si="5"/>
        <v>ID BELYAZID Mohamed</v>
      </c>
      <c r="D383" s="31" t="s">
        <v>242</v>
      </c>
      <c r="E383" s="31" t="s">
        <v>308</v>
      </c>
    </row>
    <row r="384" spans="1:5">
      <c r="A384" s="31" t="s">
        <v>995</v>
      </c>
      <c r="B384" s="31" t="s">
        <v>598</v>
      </c>
      <c r="C384" s="31" t="str">
        <f t="shared" si="5"/>
        <v>IDEL Nicolas</v>
      </c>
      <c r="D384" s="31" t="s">
        <v>242</v>
      </c>
      <c r="E384" s="31" t="s">
        <v>432</v>
      </c>
    </row>
    <row r="385" spans="1:5">
      <c r="A385" s="31" t="s">
        <v>996</v>
      </c>
      <c r="B385" s="31" t="s">
        <v>997</v>
      </c>
      <c r="C385" s="31" t="str">
        <f t="shared" si="5"/>
        <v>IFRI Rabah</v>
      </c>
      <c r="D385" s="31" t="s">
        <v>242</v>
      </c>
      <c r="E385" s="31" t="s">
        <v>267</v>
      </c>
    </row>
    <row r="386" spans="1:5">
      <c r="A386" s="31" t="s">
        <v>998</v>
      </c>
      <c r="B386" s="31" t="s">
        <v>999</v>
      </c>
      <c r="C386" s="31" t="str">
        <f t="shared" si="5"/>
        <v>IGUINIZ Ayhann</v>
      </c>
      <c r="D386" s="31" t="s">
        <v>242</v>
      </c>
      <c r="E386" s="31" t="s">
        <v>354</v>
      </c>
    </row>
    <row r="387" spans="1:5">
      <c r="A387" s="31" t="s">
        <v>1000</v>
      </c>
      <c r="B387" s="31" t="s">
        <v>557</v>
      </c>
      <c r="C387" s="31" t="str">
        <f t="shared" ref="C387:C450" si="6">_xlfn.CONCAT(A387, " ",B387)</f>
        <v>IMARAZENE Amine</v>
      </c>
      <c r="D387" s="31" t="s">
        <v>242</v>
      </c>
      <c r="E387" s="31" t="s">
        <v>383</v>
      </c>
    </row>
    <row r="388" spans="1:5">
      <c r="A388" s="31" t="s">
        <v>1001</v>
      </c>
      <c r="B388" s="31" t="s">
        <v>1002</v>
      </c>
      <c r="C388" s="31" t="str">
        <f t="shared" si="6"/>
        <v>IMBERT Jessica</v>
      </c>
      <c r="D388" s="31" t="s">
        <v>242</v>
      </c>
      <c r="E388" s="31" t="s">
        <v>297</v>
      </c>
    </row>
    <row r="389" spans="1:5">
      <c r="A389" s="31" t="s">
        <v>1003</v>
      </c>
      <c r="B389" s="31" t="s">
        <v>1004</v>
      </c>
      <c r="C389" s="31" t="str">
        <f t="shared" si="6"/>
        <v>INAMO Colyn</v>
      </c>
      <c r="D389" s="31" t="s">
        <v>242</v>
      </c>
      <c r="E389" s="31" t="s">
        <v>443</v>
      </c>
    </row>
    <row r="390" spans="1:5">
      <c r="A390" s="31" t="s">
        <v>1005</v>
      </c>
      <c r="B390" s="31" t="s">
        <v>1006</v>
      </c>
      <c r="C390" s="31" t="str">
        <f t="shared" si="6"/>
        <v>INDRALINGAM INTHUSAN</v>
      </c>
      <c r="D390" s="31" t="s">
        <v>242</v>
      </c>
      <c r="E390" s="31" t="s">
        <v>443</v>
      </c>
    </row>
    <row r="391" spans="1:5">
      <c r="A391" s="31" t="s">
        <v>1007</v>
      </c>
      <c r="B391" s="31" t="s">
        <v>1008</v>
      </c>
      <c r="C391" s="31" t="str">
        <f t="shared" si="6"/>
        <v>IZIKKI Iliès</v>
      </c>
      <c r="D391" s="31" t="s">
        <v>242</v>
      </c>
      <c r="E391" s="31" t="s">
        <v>338</v>
      </c>
    </row>
    <row r="392" spans="1:5">
      <c r="A392" s="31" t="s">
        <v>1009</v>
      </c>
      <c r="B392" s="31" t="s">
        <v>786</v>
      </c>
      <c r="C392" s="31" t="str">
        <f t="shared" si="6"/>
        <v>JAA Sofiane</v>
      </c>
      <c r="D392" s="31" t="s">
        <v>242</v>
      </c>
      <c r="E392" s="31" t="s">
        <v>250</v>
      </c>
    </row>
    <row r="393" spans="1:5">
      <c r="A393" s="31" t="s">
        <v>1010</v>
      </c>
      <c r="B393" s="31" t="s">
        <v>285</v>
      </c>
      <c r="C393" s="31" t="str">
        <f t="shared" si="6"/>
        <v>JAILLANT Thomas</v>
      </c>
      <c r="D393" s="31" t="s">
        <v>242</v>
      </c>
      <c r="E393" s="31" t="s">
        <v>277</v>
      </c>
    </row>
    <row r="394" spans="1:5">
      <c r="A394" s="31" t="s">
        <v>1011</v>
      </c>
      <c r="B394" s="31" t="s">
        <v>1012</v>
      </c>
      <c r="C394" s="31" t="str">
        <f t="shared" si="6"/>
        <v>JAOUHER Samy</v>
      </c>
      <c r="D394" s="31" t="s">
        <v>242</v>
      </c>
      <c r="E394" s="31" t="s">
        <v>406</v>
      </c>
    </row>
    <row r="395" spans="1:5">
      <c r="A395" s="31" t="s">
        <v>1013</v>
      </c>
      <c r="B395" s="31" t="s">
        <v>1014</v>
      </c>
      <c r="C395" s="31" t="str">
        <f t="shared" si="6"/>
        <v>JARRAY Houssem Eddine</v>
      </c>
      <c r="D395" s="31" t="s">
        <v>242</v>
      </c>
      <c r="E395" s="31" t="s">
        <v>412</v>
      </c>
    </row>
    <row r="396" spans="1:5">
      <c r="A396" s="31" t="s">
        <v>1015</v>
      </c>
      <c r="B396" s="31" t="s">
        <v>1016</v>
      </c>
      <c r="C396" s="31" t="str">
        <f t="shared" si="6"/>
        <v>JAYOUSI Adnan</v>
      </c>
      <c r="D396" s="31" t="s">
        <v>242</v>
      </c>
      <c r="E396" s="31" t="s">
        <v>406</v>
      </c>
    </row>
    <row r="397" spans="1:5">
      <c r="A397" s="31" t="s">
        <v>303</v>
      </c>
      <c r="B397" s="31" t="s">
        <v>304</v>
      </c>
      <c r="C397" s="31" t="str">
        <f t="shared" si="6"/>
        <v>JEANNEY Antoine</v>
      </c>
      <c r="D397" s="31" t="s">
        <v>242</v>
      </c>
      <c r="E397" s="31" t="s">
        <v>247</v>
      </c>
    </row>
    <row r="398" spans="1:5">
      <c r="A398" s="31" t="s">
        <v>1017</v>
      </c>
      <c r="B398" s="31" t="s">
        <v>663</v>
      </c>
      <c r="C398" s="31" t="str">
        <f t="shared" si="6"/>
        <v>JEBANE Jérémy</v>
      </c>
      <c r="D398" s="31" t="s">
        <v>242</v>
      </c>
      <c r="E398" s="31" t="s">
        <v>338</v>
      </c>
    </row>
    <row r="399" spans="1:5">
      <c r="A399" s="31" t="s">
        <v>1018</v>
      </c>
      <c r="B399" s="31" t="s">
        <v>331</v>
      </c>
      <c r="C399" s="31" t="str">
        <f t="shared" si="6"/>
        <v>JEDDI Mohamed</v>
      </c>
      <c r="D399" s="31" t="s">
        <v>242</v>
      </c>
      <c r="E399" s="31" t="s">
        <v>360</v>
      </c>
    </row>
    <row r="400" spans="1:5">
      <c r="A400" s="31" t="s">
        <v>1019</v>
      </c>
      <c r="B400" s="31" t="s">
        <v>629</v>
      </c>
      <c r="C400" s="31" t="str">
        <f t="shared" si="6"/>
        <v>JEDRZEJCZAK Yanis</v>
      </c>
      <c r="D400" s="31" t="s">
        <v>242</v>
      </c>
      <c r="E400" s="31" t="s">
        <v>432</v>
      </c>
    </row>
    <row r="401" spans="1:5">
      <c r="A401" s="31" t="s">
        <v>1020</v>
      </c>
      <c r="B401" s="31" t="s">
        <v>1021</v>
      </c>
      <c r="C401" s="31" t="str">
        <f t="shared" si="6"/>
        <v>JLIDI Saifedine</v>
      </c>
      <c r="D401" s="31" t="s">
        <v>242</v>
      </c>
      <c r="E401" s="31" t="s">
        <v>495</v>
      </c>
    </row>
    <row r="402" spans="1:5">
      <c r="A402" s="31" t="s">
        <v>309</v>
      </c>
      <c r="B402" s="31" t="s">
        <v>310</v>
      </c>
      <c r="C402" s="31" t="str">
        <f t="shared" si="6"/>
        <v>JODOM MATSOKO Marlène</v>
      </c>
      <c r="D402" s="31" t="s">
        <v>242</v>
      </c>
      <c r="E402" s="31" t="s">
        <v>247</v>
      </c>
    </row>
    <row r="403" spans="1:5">
      <c r="A403" s="31" t="s">
        <v>1022</v>
      </c>
      <c r="B403" s="31" t="s">
        <v>1023</v>
      </c>
      <c r="C403" s="31" t="str">
        <f t="shared" si="6"/>
        <v>JOSEPH Christerson</v>
      </c>
      <c r="D403" s="31" t="s">
        <v>242</v>
      </c>
      <c r="E403" s="31" t="s">
        <v>418</v>
      </c>
    </row>
    <row r="404" spans="1:5">
      <c r="A404" s="31" t="s">
        <v>1024</v>
      </c>
      <c r="B404" s="31" t="s">
        <v>1025</v>
      </c>
      <c r="C404" s="31" t="str">
        <f t="shared" si="6"/>
        <v>JOUVENCEAU Tanguy</v>
      </c>
      <c r="D404" s="31" t="s">
        <v>242</v>
      </c>
      <c r="E404" s="31" t="s">
        <v>377</v>
      </c>
    </row>
    <row r="405" spans="1:5">
      <c r="A405" s="31" t="s">
        <v>1026</v>
      </c>
      <c r="B405" s="31" t="s">
        <v>1027</v>
      </c>
      <c r="C405" s="31" t="str">
        <f t="shared" si="6"/>
        <v>KAHRAMANSOY Eyza</v>
      </c>
      <c r="D405" s="31" t="s">
        <v>242</v>
      </c>
      <c r="E405" s="31" t="s">
        <v>395</v>
      </c>
    </row>
    <row r="406" spans="1:5">
      <c r="A406" s="31" t="s">
        <v>1028</v>
      </c>
      <c r="B406" s="31" t="s">
        <v>594</v>
      </c>
      <c r="C406" s="31" t="str">
        <f t="shared" si="6"/>
        <v>KALALA-MWAMBA David</v>
      </c>
      <c r="D406" s="31" t="s">
        <v>242</v>
      </c>
      <c r="E406" s="31" t="s">
        <v>412</v>
      </c>
    </row>
    <row r="407" spans="1:5">
      <c r="A407" s="31" t="s">
        <v>1029</v>
      </c>
      <c r="B407" s="31" t="s">
        <v>1030</v>
      </c>
      <c r="C407" s="31" t="str">
        <f t="shared" si="6"/>
        <v>KAMAL Badr</v>
      </c>
      <c r="D407" s="31" t="s">
        <v>242</v>
      </c>
      <c r="E407" s="31" t="s">
        <v>267</v>
      </c>
    </row>
    <row r="408" spans="1:5">
      <c r="A408" s="31" t="s">
        <v>1031</v>
      </c>
      <c r="B408" s="31" t="s">
        <v>1032</v>
      </c>
      <c r="C408" s="31" t="str">
        <f t="shared" si="6"/>
        <v>KAMALA Ibrahim</v>
      </c>
      <c r="D408" s="31" t="s">
        <v>242</v>
      </c>
      <c r="E408" s="31" t="s">
        <v>360</v>
      </c>
    </row>
    <row r="409" spans="1:5">
      <c r="A409" s="31" t="s">
        <v>1033</v>
      </c>
      <c r="B409" s="31" t="s">
        <v>1034</v>
      </c>
      <c r="C409" s="31" t="str">
        <f t="shared" si="6"/>
        <v>KAMARA Aboubacar</v>
      </c>
      <c r="D409" s="31" t="s">
        <v>242</v>
      </c>
      <c r="E409" s="31" t="s">
        <v>377</v>
      </c>
    </row>
    <row r="410" spans="1:5">
      <c r="A410" s="31" t="s">
        <v>1035</v>
      </c>
      <c r="B410" s="31" t="s">
        <v>1036</v>
      </c>
      <c r="C410" s="31" t="str">
        <f t="shared" si="6"/>
        <v>KANE Serigne</v>
      </c>
      <c r="D410" s="31" t="s">
        <v>242</v>
      </c>
      <c r="E410" s="31" t="s">
        <v>383</v>
      </c>
    </row>
    <row r="411" spans="1:5">
      <c r="A411" s="31" t="s">
        <v>1037</v>
      </c>
      <c r="B411" s="31" t="s">
        <v>1038</v>
      </c>
      <c r="C411" s="31" t="str">
        <f t="shared" si="6"/>
        <v>KARAER Erdal</v>
      </c>
      <c r="D411" s="31" t="s">
        <v>242</v>
      </c>
      <c r="E411" s="31" t="s">
        <v>243</v>
      </c>
    </row>
    <row r="412" spans="1:5">
      <c r="A412" s="31" t="s">
        <v>1039</v>
      </c>
      <c r="B412" s="31" t="s">
        <v>326</v>
      </c>
      <c r="C412" s="31" t="str">
        <f t="shared" si="6"/>
        <v>KENANG AZAMBOU Yannick</v>
      </c>
      <c r="D412" s="31" t="s">
        <v>242</v>
      </c>
      <c r="E412" s="31" t="s">
        <v>451</v>
      </c>
    </row>
    <row r="413" spans="1:5">
      <c r="A413" s="31" t="s">
        <v>1040</v>
      </c>
      <c r="B413" s="31" t="s">
        <v>849</v>
      </c>
      <c r="C413" s="31" t="str">
        <f t="shared" si="6"/>
        <v>KERBRAT Maxime</v>
      </c>
      <c r="D413" s="31" t="s">
        <v>242</v>
      </c>
      <c r="E413" s="31" t="s">
        <v>348</v>
      </c>
    </row>
    <row r="414" spans="1:5">
      <c r="A414" s="31" t="s">
        <v>1041</v>
      </c>
      <c r="B414" s="31" t="s">
        <v>1042</v>
      </c>
      <c r="C414" s="31" t="str">
        <f t="shared" si="6"/>
        <v>KEREBEL Tania</v>
      </c>
      <c r="D414" s="31" t="s">
        <v>242</v>
      </c>
      <c r="E414" s="31" t="s">
        <v>261</v>
      </c>
    </row>
    <row r="415" spans="1:5">
      <c r="A415" s="31" t="s">
        <v>1043</v>
      </c>
      <c r="B415" s="31" t="s">
        <v>1044</v>
      </c>
      <c r="C415" s="31" t="str">
        <f t="shared" si="6"/>
        <v>KHABIR Arshath-Ahamed</v>
      </c>
      <c r="D415" s="31" t="s">
        <v>242</v>
      </c>
      <c r="E415" s="31" t="s">
        <v>348</v>
      </c>
    </row>
    <row r="416" spans="1:5">
      <c r="A416" s="31" t="s">
        <v>1045</v>
      </c>
      <c r="B416" s="31" t="s">
        <v>1046</v>
      </c>
      <c r="C416" s="31" t="str">
        <f t="shared" si="6"/>
        <v>KHEFFACHE Naël</v>
      </c>
      <c r="D416" s="31" t="s">
        <v>242</v>
      </c>
      <c r="E416" s="31" t="s">
        <v>277</v>
      </c>
    </row>
    <row r="417" spans="1:5">
      <c r="A417" s="31" t="s">
        <v>1047</v>
      </c>
      <c r="B417" s="31" t="s">
        <v>786</v>
      </c>
      <c r="C417" s="31" t="str">
        <f t="shared" si="6"/>
        <v>KHODJA Sofiane</v>
      </c>
      <c r="D417" s="31" t="s">
        <v>242</v>
      </c>
      <c r="E417" s="31" t="s">
        <v>418</v>
      </c>
    </row>
    <row r="418" spans="1:5">
      <c r="A418" s="31" t="s">
        <v>1048</v>
      </c>
      <c r="B418" s="31" t="s">
        <v>1049</v>
      </c>
      <c r="C418" s="31" t="str">
        <f t="shared" si="6"/>
        <v>KHORISSI Mohamed Lezhari</v>
      </c>
      <c r="D418" s="31" t="s">
        <v>242</v>
      </c>
      <c r="E418" s="31" t="s">
        <v>243</v>
      </c>
    </row>
    <row r="419" spans="1:5">
      <c r="A419" s="31" t="s">
        <v>1050</v>
      </c>
      <c r="B419" s="31" t="s">
        <v>1051</v>
      </c>
      <c r="C419" s="31" t="str">
        <f t="shared" si="6"/>
        <v>KIALA NZUZI Jérémie</v>
      </c>
      <c r="D419" s="31" t="s">
        <v>242</v>
      </c>
      <c r="E419" s="31" t="s">
        <v>389</v>
      </c>
    </row>
    <row r="420" spans="1:5">
      <c r="A420" s="31" t="s">
        <v>1052</v>
      </c>
      <c r="B420" s="31" t="s">
        <v>1053</v>
      </c>
      <c r="C420" s="31" t="str">
        <f t="shared" si="6"/>
        <v>KIBA Paul-Cephas</v>
      </c>
      <c r="D420" s="31" t="s">
        <v>242</v>
      </c>
      <c r="E420" s="31" t="s">
        <v>446</v>
      </c>
    </row>
    <row r="421" spans="1:5">
      <c r="A421" s="31" t="s">
        <v>1054</v>
      </c>
      <c r="B421" s="31" t="s">
        <v>1055</v>
      </c>
      <c r="C421" s="31" t="str">
        <f t="shared" si="6"/>
        <v>KIMBEMBE Philippe</v>
      </c>
      <c r="D421" s="31" t="s">
        <v>242</v>
      </c>
      <c r="E421" s="31" t="s">
        <v>454</v>
      </c>
    </row>
    <row r="422" spans="1:5">
      <c r="A422" s="31" t="s">
        <v>1056</v>
      </c>
      <c r="B422" s="31" t="s">
        <v>1057</v>
      </c>
      <c r="C422" s="31" t="str">
        <f t="shared" si="6"/>
        <v>KIRAT Denis</v>
      </c>
      <c r="D422" s="31" t="s">
        <v>242</v>
      </c>
      <c r="E422" s="31" t="s">
        <v>383</v>
      </c>
    </row>
    <row r="423" spans="1:5">
      <c r="A423" s="31" t="s">
        <v>1058</v>
      </c>
      <c r="B423" s="31" t="s">
        <v>1059</v>
      </c>
      <c r="C423" s="31" t="str">
        <f t="shared" si="6"/>
        <v>KLOUKPO Ami Beatrice</v>
      </c>
      <c r="D423" s="31" t="s">
        <v>242</v>
      </c>
      <c r="E423" s="31" t="s">
        <v>250</v>
      </c>
    </row>
    <row r="424" spans="1:5">
      <c r="A424" s="31" t="s">
        <v>312</v>
      </c>
      <c r="B424" s="31" t="s">
        <v>313</v>
      </c>
      <c r="C424" s="31" t="str">
        <f t="shared" si="6"/>
        <v>KOMTCHEU VEIGNE LEUKAM Armand colin</v>
      </c>
      <c r="D424" s="31" t="s">
        <v>242</v>
      </c>
      <c r="E424" s="31" t="s">
        <v>247</v>
      </c>
    </row>
    <row r="425" spans="1:5">
      <c r="A425" s="31" t="s">
        <v>1060</v>
      </c>
      <c r="B425" s="31" t="s">
        <v>245</v>
      </c>
      <c r="C425" s="31" t="str">
        <f t="shared" si="6"/>
        <v>KOUIDER AKIL Sarah</v>
      </c>
      <c r="D425" s="31" t="s">
        <v>242</v>
      </c>
      <c r="E425" s="31" t="s">
        <v>432</v>
      </c>
    </row>
    <row r="426" spans="1:5">
      <c r="A426" s="31" t="s">
        <v>1061</v>
      </c>
      <c r="B426" s="31" t="s">
        <v>1062</v>
      </c>
      <c r="C426" s="31" t="str">
        <f t="shared" si="6"/>
        <v>KOULOUBOUKA Kenny</v>
      </c>
      <c r="D426" s="31" t="s">
        <v>242</v>
      </c>
      <c r="E426" s="31" t="s">
        <v>389</v>
      </c>
    </row>
    <row r="427" spans="1:5">
      <c r="A427" s="31" t="s">
        <v>1063</v>
      </c>
      <c r="B427" s="31" t="s">
        <v>629</v>
      </c>
      <c r="C427" s="31" t="str">
        <f t="shared" si="6"/>
        <v>KRABCHI Yanis</v>
      </c>
      <c r="D427" s="31" t="s">
        <v>242</v>
      </c>
      <c r="E427" s="31" t="s">
        <v>297</v>
      </c>
    </row>
    <row r="428" spans="1:5">
      <c r="A428" s="31" t="s">
        <v>1064</v>
      </c>
      <c r="B428" s="31" t="s">
        <v>1065</v>
      </c>
      <c r="C428" s="31" t="str">
        <f t="shared" si="6"/>
        <v>KUSALAVAN Prasanth</v>
      </c>
      <c r="D428" s="31" t="s">
        <v>242</v>
      </c>
      <c r="E428" s="31" t="s">
        <v>446</v>
      </c>
    </row>
    <row r="429" spans="1:5">
      <c r="A429" s="31" t="s">
        <v>1066</v>
      </c>
      <c r="B429" s="31" t="s">
        <v>817</v>
      </c>
      <c r="C429" s="31" t="str">
        <f t="shared" si="6"/>
        <v>L'AFFETER Arthur</v>
      </c>
      <c r="D429" s="31" t="s">
        <v>242</v>
      </c>
      <c r="E429" s="31" t="s">
        <v>495</v>
      </c>
    </row>
    <row r="430" spans="1:5">
      <c r="A430" s="31" t="s">
        <v>1067</v>
      </c>
      <c r="B430" s="31" t="s">
        <v>1068</v>
      </c>
      <c r="C430" s="31" t="str">
        <f t="shared" si="6"/>
        <v>LABIDI Souhaib</v>
      </c>
      <c r="D430" s="31" t="s">
        <v>242</v>
      </c>
      <c r="E430" s="31" t="s">
        <v>395</v>
      </c>
    </row>
    <row r="431" spans="1:5">
      <c r="A431" s="31" t="s">
        <v>1069</v>
      </c>
      <c r="B431" s="31" t="s">
        <v>542</v>
      </c>
      <c r="C431" s="31" t="str">
        <f t="shared" si="6"/>
        <v>LACASTAIGNERATTE Baptiste</v>
      </c>
      <c r="D431" s="31" t="s">
        <v>242</v>
      </c>
      <c r="E431" s="31" t="s">
        <v>250</v>
      </c>
    </row>
    <row r="432" spans="1:5">
      <c r="A432" s="31" t="s">
        <v>1070</v>
      </c>
      <c r="B432" s="31" t="s">
        <v>653</v>
      </c>
      <c r="C432" s="31" t="str">
        <f t="shared" si="6"/>
        <v>LAGRANGE Louis</v>
      </c>
      <c r="D432" s="31" t="s">
        <v>242</v>
      </c>
      <c r="E432" s="31" t="s">
        <v>332</v>
      </c>
    </row>
    <row r="433" spans="1:5">
      <c r="A433" s="31" t="s">
        <v>1071</v>
      </c>
      <c r="B433" s="31" t="s">
        <v>331</v>
      </c>
      <c r="C433" s="31" t="str">
        <f t="shared" si="6"/>
        <v>LAHSSAINI Mohamed</v>
      </c>
      <c r="D433" s="31" t="s">
        <v>242</v>
      </c>
      <c r="E433" s="31" t="s">
        <v>495</v>
      </c>
    </row>
    <row r="434" spans="1:5">
      <c r="A434" s="31" t="s">
        <v>1072</v>
      </c>
      <c r="B434" s="31" t="s">
        <v>1073</v>
      </c>
      <c r="C434" s="31" t="str">
        <f t="shared" si="6"/>
        <v>LAKOUADSSI Riyad</v>
      </c>
      <c r="D434" s="31" t="s">
        <v>242</v>
      </c>
      <c r="E434" s="31" t="s">
        <v>250</v>
      </c>
    </row>
    <row r="435" spans="1:5">
      <c r="A435" s="31" t="s">
        <v>1072</v>
      </c>
      <c r="B435" s="31" t="s">
        <v>1074</v>
      </c>
      <c r="C435" s="31" t="str">
        <f t="shared" si="6"/>
        <v>LAKOUADSSI Ilias</v>
      </c>
      <c r="D435" s="31" t="s">
        <v>242</v>
      </c>
      <c r="E435" s="31" t="s">
        <v>250</v>
      </c>
    </row>
    <row r="436" spans="1:5">
      <c r="A436" s="31" t="s">
        <v>1075</v>
      </c>
      <c r="B436" s="31" t="s">
        <v>858</v>
      </c>
      <c r="C436" s="31" t="str">
        <f t="shared" si="6"/>
        <v>LAMOUCHE Valentin</v>
      </c>
      <c r="D436" s="31" t="s">
        <v>242</v>
      </c>
      <c r="E436" s="31" t="s">
        <v>277</v>
      </c>
    </row>
    <row r="437" spans="1:5">
      <c r="A437" s="31" t="s">
        <v>1075</v>
      </c>
      <c r="B437" s="31" t="s">
        <v>1076</v>
      </c>
      <c r="C437" s="31" t="str">
        <f t="shared" si="6"/>
        <v>LAMOUCHE Timothé</v>
      </c>
      <c r="D437" s="31" t="s">
        <v>242</v>
      </c>
      <c r="E437" s="31" t="s">
        <v>495</v>
      </c>
    </row>
    <row r="438" spans="1:5">
      <c r="A438" s="31" t="s">
        <v>1077</v>
      </c>
      <c r="B438" s="31" t="s">
        <v>1078</v>
      </c>
      <c r="C438" s="31" t="str">
        <f t="shared" si="6"/>
        <v>LAMOURI Redouane</v>
      </c>
      <c r="D438" s="31" t="s">
        <v>242</v>
      </c>
      <c r="E438" s="31" t="s">
        <v>267</v>
      </c>
    </row>
    <row r="439" spans="1:5">
      <c r="A439" s="31" t="s">
        <v>1079</v>
      </c>
      <c r="B439" s="31" t="s">
        <v>951</v>
      </c>
      <c r="C439" s="31" t="str">
        <f t="shared" si="6"/>
        <v>LAMRI Rayan</v>
      </c>
      <c r="D439" s="31" t="s">
        <v>242</v>
      </c>
      <c r="E439" s="31" t="s">
        <v>495</v>
      </c>
    </row>
    <row r="440" spans="1:5">
      <c r="A440" s="31" t="s">
        <v>1080</v>
      </c>
      <c r="B440" s="31" t="s">
        <v>909</v>
      </c>
      <c r="C440" s="31" t="str">
        <f t="shared" si="6"/>
        <v>LAOUDI Youcef</v>
      </c>
      <c r="D440" s="31" t="s">
        <v>242</v>
      </c>
      <c r="E440" s="31" t="s">
        <v>412</v>
      </c>
    </row>
    <row r="441" spans="1:5">
      <c r="A441" s="31" t="s">
        <v>1081</v>
      </c>
      <c r="B441" s="31" t="s">
        <v>694</v>
      </c>
      <c r="C441" s="31" t="str">
        <f t="shared" si="6"/>
        <v>LAPERT Joseph</v>
      </c>
      <c r="D441" s="31" t="s">
        <v>242</v>
      </c>
      <c r="E441" s="31" t="s">
        <v>2</v>
      </c>
    </row>
    <row r="442" spans="1:5">
      <c r="A442" s="31" t="s">
        <v>1082</v>
      </c>
      <c r="B442" s="31" t="s">
        <v>1083</v>
      </c>
      <c r="C442" s="31" t="str">
        <f t="shared" si="6"/>
        <v>LARGOU Ilies</v>
      </c>
      <c r="D442" s="31" t="s">
        <v>242</v>
      </c>
      <c r="E442" s="31" t="s">
        <v>354</v>
      </c>
    </row>
    <row r="443" spans="1:5">
      <c r="A443" s="31" t="s">
        <v>1084</v>
      </c>
      <c r="B443" s="31" t="s">
        <v>1085</v>
      </c>
      <c r="C443" s="31" t="str">
        <f t="shared" si="6"/>
        <v>LAURENT Manon</v>
      </c>
      <c r="D443" s="31" t="s">
        <v>242</v>
      </c>
      <c r="E443" s="31" t="s">
        <v>418</v>
      </c>
    </row>
    <row r="444" spans="1:5">
      <c r="A444" s="31" t="s">
        <v>1086</v>
      </c>
      <c r="B444" s="31" t="s">
        <v>1087</v>
      </c>
      <c r="C444" s="31" t="str">
        <f t="shared" si="6"/>
        <v>LAVAUD Simon</v>
      </c>
      <c r="D444" s="31" t="s">
        <v>242</v>
      </c>
      <c r="E444" s="31" t="s">
        <v>389</v>
      </c>
    </row>
    <row r="445" spans="1:5">
      <c r="A445" s="31" t="s">
        <v>1088</v>
      </c>
      <c r="B445" s="31" t="s">
        <v>1089</v>
      </c>
      <c r="C445" s="31" t="str">
        <f t="shared" si="6"/>
        <v>LE BOEDEC Robin</v>
      </c>
      <c r="D445" s="31" t="s">
        <v>242</v>
      </c>
      <c r="E445" s="31" t="s">
        <v>395</v>
      </c>
    </row>
    <row r="446" spans="1:5">
      <c r="A446" s="31" t="s">
        <v>1090</v>
      </c>
      <c r="B446" s="31" t="s">
        <v>627</v>
      </c>
      <c r="C446" s="31" t="str">
        <f t="shared" si="6"/>
        <v>LE CLERE Loic</v>
      </c>
      <c r="D446" s="31" t="s">
        <v>242</v>
      </c>
      <c r="E446" s="31" t="s">
        <v>332</v>
      </c>
    </row>
    <row r="447" spans="1:5">
      <c r="A447" s="31" t="s">
        <v>1091</v>
      </c>
      <c r="B447" s="31" t="s">
        <v>1092</v>
      </c>
      <c r="C447" s="31" t="str">
        <f t="shared" si="6"/>
        <v>LE HENAFF Claude</v>
      </c>
      <c r="D447" s="31" t="s">
        <v>242</v>
      </c>
      <c r="E447" s="31" t="s">
        <v>289</v>
      </c>
    </row>
    <row r="448" spans="1:5">
      <c r="A448" s="31" t="s">
        <v>1093</v>
      </c>
      <c r="B448" s="31" t="s">
        <v>1094</v>
      </c>
      <c r="C448" s="31" t="str">
        <f t="shared" si="6"/>
        <v>LE NOIR Lény</v>
      </c>
      <c r="D448" s="31" t="s">
        <v>242</v>
      </c>
      <c r="E448" s="31" t="s">
        <v>443</v>
      </c>
    </row>
    <row r="449" spans="1:5">
      <c r="A449" s="31" t="s">
        <v>1095</v>
      </c>
      <c r="B449" s="31" t="s">
        <v>1096</v>
      </c>
      <c r="C449" s="31" t="str">
        <f t="shared" si="6"/>
        <v>LE ROUX Xavier</v>
      </c>
      <c r="D449" s="31" t="s">
        <v>242</v>
      </c>
      <c r="E449" s="31" t="s">
        <v>418</v>
      </c>
    </row>
    <row r="450" spans="1:5">
      <c r="A450" s="31" t="s">
        <v>1097</v>
      </c>
      <c r="B450" s="31" t="s">
        <v>1098</v>
      </c>
      <c r="C450" s="31" t="str">
        <f t="shared" si="6"/>
        <v>LE SAINT Loevan</v>
      </c>
      <c r="D450" s="31" t="s">
        <v>242</v>
      </c>
      <c r="E450" s="31" t="s">
        <v>354</v>
      </c>
    </row>
    <row r="451" spans="1:5">
      <c r="A451" s="31" t="s">
        <v>1099</v>
      </c>
      <c r="B451" s="31" t="s">
        <v>370</v>
      </c>
      <c r="C451" s="31" t="str">
        <f t="shared" ref="C451:C514" si="7">_xlfn.CONCAT(A451, " ",B451)</f>
        <v>LEBLANC Tom</v>
      </c>
      <c r="D451" s="31" t="s">
        <v>242</v>
      </c>
      <c r="E451" s="31" t="s">
        <v>446</v>
      </c>
    </row>
    <row r="452" spans="1:5">
      <c r="A452" s="31" t="s">
        <v>1100</v>
      </c>
      <c r="B452" s="31" t="s">
        <v>468</v>
      </c>
      <c r="C452" s="31" t="str">
        <f t="shared" si="7"/>
        <v>LEBOEUF Evan</v>
      </c>
      <c r="D452" s="31" t="s">
        <v>242</v>
      </c>
      <c r="E452" s="31" t="s">
        <v>297</v>
      </c>
    </row>
    <row r="453" spans="1:5">
      <c r="A453" s="31" t="s">
        <v>1101</v>
      </c>
      <c r="B453" s="31" t="s">
        <v>1102</v>
      </c>
      <c r="C453" s="31" t="str">
        <f t="shared" si="7"/>
        <v>LEHAUT Loup</v>
      </c>
      <c r="D453" s="31" t="s">
        <v>242</v>
      </c>
      <c r="E453" s="31" t="s">
        <v>308</v>
      </c>
    </row>
    <row r="454" spans="1:5">
      <c r="A454" s="31" t="s">
        <v>1103</v>
      </c>
      <c r="B454" s="31" t="s">
        <v>1104</v>
      </c>
      <c r="C454" s="31" t="str">
        <f t="shared" si="7"/>
        <v>LEHNERTZ Florian</v>
      </c>
      <c r="D454" s="31" t="s">
        <v>242</v>
      </c>
      <c r="E454" s="31" t="s">
        <v>432</v>
      </c>
    </row>
    <row r="455" spans="1:5">
      <c r="A455" s="31" t="s">
        <v>1105</v>
      </c>
      <c r="B455" s="31" t="s">
        <v>370</v>
      </c>
      <c r="C455" s="31" t="str">
        <f t="shared" si="7"/>
        <v>LEPRIEUR Tom</v>
      </c>
      <c r="D455" s="31" t="s">
        <v>242</v>
      </c>
      <c r="E455" s="31" t="s">
        <v>283</v>
      </c>
    </row>
    <row r="456" spans="1:5">
      <c r="A456" s="31" t="s">
        <v>1106</v>
      </c>
      <c r="B456" s="31" t="s">
        <v>949</v>
      </c>
      <c r="C456" s="31" t="str">
        <f t="shared" si="7"/>
        <v>LESAGE Nolan</v>
      </c>
      <c r="D456" s="31" t="s">
        <v>242</v>
      </c>
      <c r="E456" s="31" t="s">
        <v>354</v>
      </c>
    </row>
    <row r="457" spans="1:5">
      <c r="A457" s="31" t="s">
        <v>1107</v>
      </c>
      <c r="B457" s="31" t="s">
        <v>1108</v>
      </c>
      <c r="C457" s="31" t="str">
        <f t="shared" si="7"/>
        <v>LETAIFA Marvin</v>
      </c>
      <c r="D457" s="31" t="s">
        <v>242</v>
      </c>
      <c r="E457" s="31" t="s">
        <v>360</v>
      </c>
    </row>
    <row r="458" spans="1:5">
      <c r="A458" s="31" t="s">
        <v>1109</v>
      </c>
      <c r="B458" s="31" t="s">
        <v>1110</v>
      </c>
      <c r="C458" s="31" t="str">
        <f t="shared" si="7"/>
        <v>LHOMME Landry</v>
      </c>
      <c r="D458" s="31" t="s">
        <v>242</v>
      </c>
      <c r="E458" s="31" t="s">
        <v>495</v>
      </c>
    </row>
    <row r="459" spans="1:5">
      <c r="A459" s="31" t="s">
        <v>1111</v>
      </c>
      <c r="B459" s="31" t="s">
        <v>817</v>
      </c>
      <c r="C459" s="31" t="str">
        <f t="shared" si="7"/>
        <v>LIGER Arthur</v>
      </c>
      <c r="D459" s="31" t="s">
        <v>242</v>
      </c>
      <c r="E459" s="31" t="s">
        <v>451</v>
      </c>
    </row>
    <row r="460" spans="1:5">
      <c r="A460" s="31" t="s">
        <v>1112</v>
      </c>
      <c r="B460" s="31" t="s">
        <v>397</v>
      </c>
      <c r="C460" s="31" t="str">
        <f t="shared" si="7"/>
        <v>LIGNANI Quentin</v>
      </c>
      <c r="D460" s="31" t="s">
        <v>242</v>
      </c>
      <c r="E460" s="31" t="s">
        <v>412</v>
      </c>
    </row>
    <row r="461" spans="1:5">
      <c r="A461" s="31" t="s">
        <v>1113</v>
      </c>
      <c r="B461" s="31" t="s">
        <v>1114</v>
      </c>
      <c r="C461" s="31" t="str">
        <f t="shared" si="7"/>
        <v>LIM Pascal</v>
      </c>
      <c r="D461" s="31" t="s">
        <v>242</v>
      </c>
      <c r="E461" s="31" t="s">
        <v>536</v>
      </c>
    </row>
    <row r="462" spans="1:5">
      <c r="A462" s="31" t="s">
        <v>1115</v>
      </c>
      <c r="B462" s="31" t="s">
        <v>285</v>
      </c>
      <c r="C462" s="31" t="str">
        <f t="shared" si="7"/>
        <v>LOCHET Thomas</v>
      </c>
      <c r="D462" s="31" t="s">
        <v>242</v>
      </c>
      <c r="E462" s="31" t="s">
        <v>451</v>
      </c>
    </row>
    <row r="463" spans="1:5">
      <c r="A463" s="31" t="s">
        <v>1116</v>
      </c>
      <c r="B463" s="31" t="s">
        <v>1117</v>
      </c>
      <c r="C463" s="31" t="str">
        <f t="shared" si="7"/>
        <v>LOUIS Fébée</v>
      </c>
      <c r="D463" s="31" t="s">
        <v>242</v>
      </c>
      <c r="E463" s="31" t="s">
        <v>406</v>
      </c>
    </row>
    <row r="464" spans="1:5">
      <c r="A464" s="31" t="s">
        <v>1118</v>
      </c>
      <c r="B464" s="31" t="s">
        <v>1119</v>
      </c>
      <c r="C464" s="31" t="str">
        <f t="shared" si="7"/>
        <v>LOUIS AIMEE Kévin</v>
      </c>
      <c r="D464" s="31" t="s">
        <v>242</v>
      </c>
      <c r="E464" s="31" t="s">
        <v>256</v>
      </c>
    </row>
    <row r="465" spans="1:5">
      <c r="A465" s="31" t="s">
        <v>317</v>
      </c>
      <c r="B465" s="31" t="s">
        <v>318</v>
      </c>
      <c r="C465" s="31" t="str">
        <f t="shared" si="7"/>
        <v>LOUNI Atika</v>
      </c>
      <c r="D465" s="31" t="s">
        <v>242</v>
      </c>
      <c r="E465" s="31" t="s">
        <v>247</v>
      </c>
    </row>
    <row r="466" spans="1:5">
      <c r="A466" s="31" t="s">
        <v>1120</v>
      </c>
      <c r="B466" s="31" t="s">
        <v>1121</v>
      </c>
      <c r="C466" s="31" t="str">
        <f t="shared" si="7"/>
        <v>LOZI Amina</v>
      </c>
      <c r="D466" s="31" t="s">
        <v>242</v>
      </c>
      <c r="E466" s="31" t="s">
        <v>243</v>
      </c>
    </row>
    <row r="467" spans="1:5">
      <c r="A467" s="31" t="s">
        <v>1122</v>
      </c>
      <c r="B467" s="31" t="s">
        <v>1123</v>
      </c>
      <c r="C467" s="31" t="str">
        <f t="shared" si="7"/>
        <v>LUANGPRASEUTH Anna</v>
      </c>
      <c r="D467" s="31" t="s">
        <v>242</v>
      </c>
      <c r="E467" s="31" t="s">
        <v>412</v>
      </c>
    </row>
    <row r="468" spans="1:5">
      <c r="A468" s="31" t="s">
        <v>1124</v>
      </c>
      <c r="B468" s="31" t="s">
        <v>849</v>
      </c>
      <c r="C468" s="31" t="str">
        <f t="shared" si="7"/>
        <v>LUCHINI Maxime</v>
      </c>
      <c r="D468" s="31" t="s">
        <v>242</v>
      </c>
      <c r="E468" s="31" t="s">
        <v>389</v>
      </c>
    </row>
    <row r="469" spans="1:5">
      <c r="A469" s="31" t="s">
        <v>1125</v>
      </c>
      <c r="B469" s="31" t="s">
        <v>538</v>
      </c>
      <c r="C469" s="31" t="str">
        <f t="shared" si="7"/>
        <v>LUO Enzo</v>
      </c>
      <c r="D469" s="31" t="s">
        <v>242</v>
      </c>
      <c r="E469" s="31" t="s">
        <v>267</v>
      </c>
    </row>
    <row r="470" spans="1:5">
      <c r="A470" s="31" t="s">
        <v>1126</v>
      </c>
      <c r="B470" s="31" t="s">
        <v>279</v>
      </c>
      <c r="C470" s="31" t="str">
        <f t="shared" si="7"/>
        <v>LY Alexandre</v>
      </c>
      <c r="D470" s="31" t="s">
        <v>242</v>
      </c>
      <c r="E470" s="31" t="s">
        <v>250</v>
      </c>
    </row>
    <row r="471" spans="1:5">
      <c r="A471" s="31" t="s">
        <v>1126</v>
      </c>
      <c r="B471" s="31" t="s">
        <v>1127</v>
      </c>
      <c r="C471" s="31" t="str">
        <f t="shared" si="7"/>
        <v>LY Pauline Vuthlang</v>
      </c>
      <c r="D471" s="31" t="s">
        <v>242</v>
      </c>
      <c r="E471" s="31" t="s">
        <v>536</v>
      </c>
    </row>
    <row r="472" spans="1:5">
      <c r="A472" s="31" t="s">
        <v>1128</v>
      </c>
      <c r="B472" s="31" t="s">
        <v>266</v>
      </c>
      <c r="C472" s="31" t="str">
        <f t="shared" si="7"/>
        <v>M'RABET Younes</v>
      </c>
      <c r="D472" s="31" t="s">
        <v>242</v>
      </c>
      <c r="E472" s="31" t="s">
        <v>418</v>
      </c>
    </row>
    <row r="473" spans="1:5">
      <c r="A473" s="31" t="s">
        <v>1129</v>
      </c>
      <c r="B473" s="31" t="s">
        <v>786</v>
      </c>
      <c r="C473" s="31" t="str">
        <f t="shared" si="7"/>
        <v>MAACHI Sofiane</v>
      </c>
      <c r="D473" s="31" t="s">
        <v>242</v>
      </c>
      <c r="E473" s="31" t="s">
        <v>308</v>
      </c>
    </row>
    <row r="474" spans="1:5">
      <c r="A474" s="31" t="s">
        <v>1130</v>
      </c>
      <c r="B474" s="31" t="s">
        <v>1131</v>
      </c>
      <c r="C474" s="31" t="str">
        <f t="shared" si="7"/>
        <v>MACEDO Yoann</v>
      </c>
      <c r="D474" s="31" t="s">
        <v>242</v>
      </c>
      <c r="E474" s="31" t="s">
        <v>495</v>
      </c>
    </row>
    <row r="475" spans="1:5">
      <c r="A475" s="31" t="s">
        <v>1130</v>
      </c>
      <c r="B475" s="31" t="s">
        <v>41</v>
      </c>
      <c r="C475" s="31" t="str">
        <f t="shared" si="7"/>
        <v>MACEDO Timothée</v>
      </c>
      <c r="D475" s="31" t="s">
        <v>242</v>
      </c>
      <c r="E475" s="31" t="s">
        <v>338</v>
      </c>
    </row>
    <row r="476" spans="1:5">
      <c r="A476" s="31" t="s">
        <v>1132</v>
      </c>
      <c r="B476" s="31" t="s">
        <v>1104</v>
      </c>
      <c r="C476" s="31" t="str">
        <f t="shared" si="7"/>
        <v>MAGLOIRE Florian</v>
      </c>
      <c r="D476" s="31" t="s">
        <v>242</v>
      </c>
      <c r="E476" s="31" t="s">
        <v>256</v>
      </c>
    </row>
    <row r="477" spans="1:5">
      <c r="A477" s="31" t="s">
        <v>1133</v>
      </c>
      <c r="B477" s="31" t="s">
        <v>557</v>
      </c>
      <c r="C477" s="31" t="str">
        <f t="shared" si="7"/>
        <v>MAHALHAL Amine</v>
      </c>
      <c r="D477" s="31" t="s">
        <v>242</v>
      </c>
      <c r="E477" s="31" t="s">
        <v>338</v>
      </c>
    </row>
    <row r="478" spans="1:5">
      <c r="A478" s="31" t="s">
        <v>1134</v>
      </c>
      <c r="B478" s="31" t="s">
        <v>786</v>
      </c>
      <c r="C478" s="31" t="str">
        <f t="shared" si="7"/>
        <v>MAHIN MOUSSA Sofiane</v>
      </c>
      <c r="D478" s="31" t="s">
        <v>242</v>
      </c>
      <c r="E478" s="31" t="s">
        <v>348</v>
      </c>
    </row>
    <row r="479" spans="1:5">
      <c r="A479" s="31" t="s">
        <v>1135</v>
      </c>
      <c r="B479" s="31" t="s">
        <v>1136</v>
      </c>
      <c r="C479" s="31" t="str">
        <f t="shared" si="7"/>
        <v>MAHMOUDI Amayas</v>
      </c>
      <c r="D479" s="31" t="s">
        <v>242</v>
      </c>
      <c r="E479" s="31" t="s">
        <v>383</v>
      </c>
    </row>
    <row r="480" spans="1:5">
      <c r="A480" s="31" t="s">
        <v>1137</v>
      </c>
      <c r="B480" s="31" t="s">
        <v>1138</v>
      </c>
      <c r="C480" s="31" t="str">
        <f t="shared" si="7"/>
        <v>MAKHLOUFI Dalil</v>
      </c>
      <c r="D480" s="31" t="s">
        <v>242</v>
      </c>
      <c r="E480" s="31" t="s">
        <v>389</v>
      </c>
    </row>
    <row r="481" spans="1:5">
      <c r="A481" s="31" t="s">
        <v>1139</v>
      </c>
      <c r="B481" s="31" t="s">
        <v>1140</v>
      </c>
      <c r="C481" s="31" t="str">
        <f t="shared" si="7"/>
        <v>MALANDRIN Titouan</v>
      </c>
      <c r="D481" s="31" t="s">
        <v>242</v>
      </c>
      <c r="E481" s="31" t="s">
        <v>289</v>
      </c>
    </row>
    <row r="482" spans="1:5">
      <c r="A482" s="31" t="s">
        <v>1141</v>
      </c>
      <c r="B482" s="31" t="s">
        <v>1142</v>
      </c>
      <c r="C482" s="31" t="str">
        <f t="shared" si="7"/>
        <v>MAM III Jobb</v>
      </c>
      <c r="D482" s="31" t="s">
        <v>242</v>
      </c>
      <c r="E482" s="31" t="s">
        <v>418</v>
      </c>
    </row>
    <row r="483" spans="1:5">
      <c r="A483" s="31" t="s">
        <v>1143</v>
      </c>
      <c r="B483" s="31" t="s">
        <v>1144</v>
      </c>
      <c r="C483" s="31" t="str">
        <f t="shared" si="7"/>
        <v>MAMPOUYA Charlyse</v>
      </c>
      <c r="D483" s="31" t="s">
        <v>242</v>
      </c>
      <c r="E483" s="31" t="s">
        <v>383</v>
      </c>
    </row>
    <row r="484" spans="1:5">
      <c r="A484" s="31" t="s">
        <v>1145</v>
      </c>
      <c r="B484" s="31" t="s">
        <v>1146</v>
      </c>
      <c r="C484" s="31" t="str">
        <f t="shared" si="7"/>
        <v>MANE Abdoul-Aziz</v>
      </c>
      <c r="D484" s="31" t="s">
        <v>242</v>
      </c>
      <c r="E484" s="31" t="s">
        <v>418</v>
      </c>
    </row>
    <row r="485" spans="1:5">
      <c r="A485" s="31" t="s">
        <v>1147</v>
      </c>
      <c r="B485" s="31" t="s">
        <v>1148</v>
      </c>
      <c r="C485" s="31" t="str">
        <f t="shared" si="7"/>
        <v>MARBEUF Michèle</v>
      </c>
      <c r="D485" s="31" t="s">
        <v>242</v>
      </c>
      <c r="E485" s="31" t="s">
        <v>308</v>
      </c>
    </row>
    <row r="486" spans="1:5">
      <c r="A486" s="31" t="s">
        <v>1149</v>
      </c>
      <c r="B486" s="31" t="s">
        <v>1150</v>
      </c>
      <c r="C486" s="31" t="str">
        <f t="shared" si="7"/>
        <v>MARC Ruchebe</v>
      </c>
      <c r="D486" s="31" t="s">
        <v>242</v>
      </c>
      <c r="E486" s="31" t="s">
        <v>348</v>
      </c>
    </row>
    <row r="487" spans="1:5">
      <c r="A487" s="31" t="s">
        <v>1151</v>
      </c>
      <c r="B487" s="31" t="s">
        <v>1152</v>
      </c>
      <c r="C487" s="31" t="str">
        <f t="shared" si="7"/>
        <v>MARCELIN Sydney</v>
      </c>
      <c r="D487" s="31" t="s">
        <v>242</v>
      </c>
      <c r="E487" s="31" t="s">
        <v>377</v>
      </c>
    </row>
    <row r="488" spans="1:5">
      <c r="A488" s="31" t="s">
        <v>1153</v>
      </c>
      <c r="B488" s="31" t="s">
        <v>1154</v>
      </c>
      <c r="C488" s="31" t="str">
        <f t="shared" si="7"/>
        <v>MARCELLE Willy</v>
      </c>
      <c r="D488" s="31" t="s">
        <v>242</v>
      </c>
      <c r="E488" s="31" t="s">
        <v>354</v>
      </c>
    </row>
    <row r="489" spans="1:5">
      <c r="A489" s="31" t="s">
        <v>1155</v>
      </c>
      <c r="B489" s="31" t="s">
        <v>1156</v>
      </c>
      <c r="C489" s="31" t="str">
        <f t="shared" si="7"/>
        <v>MARECHAUX Willem</v>
      </c>
      <c r="D489" s="31" t="s">
        <v>242</v>
      </c>
      <c r="E489" s="31" t="s">
        <v>360</v>
      </c>
    </row>
    <row r="490" spans="1:5">
      <c r="A490" s="31" t="s">
        <v>1157</v>
      </c>
      <c r="B490" s="31" t="s">
        <v>1158</v>
      </c>
      <c r="C490" s="31" t="str">
        <f t="shared" si="7"/>
        <v>MARHROUF Ouafae</v>
      </c>
      <c r="D490" s="31" t="s">
        <v>242</v>
      </c>
      <c r="E490" s="31" t="s">
        <v>536</v>
      </c>
    </row>
    <row r="491" spans="1:5">
      <c r="A491" s="31" t="s">
        <v>1159</v>
      </c>
      <c r="B491" s="31" t="s">
        <v>1160</v>
      </c>
      <c r="C491" s="31" t="str">
        <f t="shared" si="7"/>
        <v>MARIE Melvyn</v>
      </c>
      <c r="D491" s="31" t="s">
        <v>242</v>
      </c>
      <c r="E491" s="31" t="s">
        <v>454</v>
      </c>
    </row>
    <row r="492" spans="1:5">
      <c r="A492" s="31" t="s">
        <v>1161</v>
      </c>
      <c r="B492" s="31" t="s">
        <v>1162</v>
      </c>
      <c r="C492" s="31" t="str">
        <f t="shared" si="7"/>
        <v>MAROT Jason</v>
      </c>
      <c r="D492" s="31" t="s">
        <v>242</v>
      </c>
      <c r="E492" s="31" t="s">
        <v>250</v>
      </c>
    </row>
    <row r="493" spans="1:5">
      <c r="A493" s="31" t="s">
        <v>1163</v>
      </c>
      <c r="B493" s="31" t="s">
        <v>702</v>
      </c>
      <c r="C493" s="31" t="str">
        <f t="shared" si="7"/>
        <v>MARQUES Guillaume</v>
      </c>
      <c r="D493" s="31" t="s">
        <v>242</v>
      </c>
      <c r="E493" s="31" t="s">
        <v>354</v>
      </c>
    </row>
    <row r="494" spans="1:5">
      <c r="A494" s="31" t="s">
        <v>1164</v>
      </c>
      <c r="B494" s="31" t="s">
        <v>1165</v>
      </c>
      <c r="C494" s="31" t="str">
        <f t="shared" si="7"/>
        <v>MARTIN Jimmy</v>
      </c>
      <c r="D494" s="31" t="s">
        <v>242</v>
      </c>
      <c r="E494" s="31" t="s">
        <v>332</v>
      </c>
    </row>
    <row r="495" spans="1:5">
      <c r="A495" s="31" t="s">
        <v>1164</v>
      </c>
      <c r="B495" s="31" t="s">
        <v>1166</v>
      </c>
      <c r="C495" s="31" t="str">
        <f t="shared" si="7"/>
        <v>MARTIN Brimal</v>
      </c>
      <c r="D495" s="31" t="s">
        <v>242</v>
      </c>
      <c r="E495" s="31" t="s">
        <v>250</v>
      </c>
    </row>
    <row r="496" spans="1:5">
      <c r="A496" s="31" t="s">
        <v>1167</v>
      </c>
      <c r="B496" s="31" t="s">
        <v>1168</v>
      </c>
      <c r="C496" s="31" t="str">
        <f t="shared" si="7"/>
        <v>MARTINEAU Justin</v>
      </c>
      <c r="D496" s="31" t="s">
        <v>242</v>
      </c>
      <c r="E496" s="31" t="s">
        <v>277</v>
      </c>
    </row>
    <row r="497" spans="1:5">
      <c r="A497" s="31" t="s">
        <v>1169</v>
      </c>
      <c r="B497" s="31" t="s">
        <v>852</v>
      </c>
      <c r="C497" s="31" t="str">
        <f t="shared" si="7"/>
        <v>MARTINS Vincent</v>
      </c>
      <c r="D497" s="31" t="s">
        <v>242</v>
      </c>
      <c r="E497" s="31" t="s">
        <v>256</v>
      </c>
    </row>
    <row r="498" spans="1:5">
      <c r="A498" s="31" t="s">
        <v>1170</v>
      </c>
      <c r="B498" s="31" t="s">
        <v>1171</v>
      </c>
      <c r="C498" s="31" t="str">
        <f t="shared" si="7"/>
        <v>MASCARY Jonathan</v>
      </c>
      <c r="D498" s="31" t="s">
        <v>242</v>
      </c>
      <c r="E498" s="31" t="s">
        <v>412</v>
      </c>
    </row>
    <row r="499" spans="1:5">
      <c r="A499" s="31" t="s">
        <v>1172</v>
      </c>
      <c r="B499" s="31" t="s">
        <v>549</v>
      </c>
      <c r="C499" s="31" t="str">
        <f t="shared" si="7"/>
        <v>MASSE Alice</v>
      </c>
      <c r="D499" s="31" t="s">
        <v>242</v>
      </c>
      <c r="E499" s="31" t="s">
        <v>418</v>
      </c>
    </row>
    <row r="500" spans="1:5">
      <c r="A500" s="31" t="s">
        <v>1173</v>
      </c>
      <c r="B500" s="31" t="s">
        <v>655</v>
      </c>
      <c r="C500" s="31" t="str">
        <f t="shared" si="7"/>
        <v>MASSON Ethan</v>
      </c>
      <c r="D500" s="31" t="s">
        <v>242</v>
      </c>
      <c r="E500" s="31" t="s">
        <v>395</v>
      </c>
    </row>
    <row r="501" spans="1:5">
      <c r="A501" s="31" t="s">
        <v>1174</v>
      </c>
      <c r="B501" s="31" t="s">
        <v>932</v>
      </c>
      <c r="C501" s="31" t="str">
        <f t="shared" si="7"/>
        <v>MATAHRI Yassine</v>
      </c>
      <c r="D501" s="31" t="s">
        <v>242</v>
      </c>
      <c r="E501" s="31" t="s">
        <v>250</v>
      </c>
    </row>
    <row r="502" spans="1:5">
      <c r="A502" s="31" t="s">
        <v>1175</v>
      </c>
      <c r="B502" s="31" t="s">
        <v>1176</v>
      </c>
      <c r="C502" s="31" t="str">
        <f t="shared" si="7"/>
        <v>MATHIEU Emma</v>
      </c>
      <c r="D502" s="31" t="s">
        <v>242</v>
      </c>
      <c r="E502" s="31" t="s">
        <v>250</v>
      </c>
    </row>
    <row r="503" spans="1:5">
      <c r="A503" s="31" t="s">
        <v>1175</v>
      </c>
      <c r="B503" s="31" t="s">
        <v>1177</v>
      </c>
      <c r="C503" s="31" t="str">
        <f t="shared" si="7"/>
        <v>MATHIEU Anthony</v>
      </c>
      <c r="D503" s="31" t="s">
        <v>242</v>
      </c>
      <c r="E503" s="31" t="s">
        <v>536</v>
      </c>
    </row>
    <row r="504" spans="1:5">
      <c r="A504" s="31" t="s">
        <v>1178</v>
      </c>
      <c r="B504" s="31" t="s">
        <v>1179</v>
      </c>
      <c r="C504" s="31" t="str">
        <f t="shared" si="7"/>
        <v>MATHURINE Yohann</v>
      </c>
      <c r="D504" s="31" t="s">
        <v>242</v>
      </c>
      <c r="E504" s="31" t="s">
        <v>443</v>
      </c>
    </row>
    <row r="505" spans="1:5">
      <c r="A505" s="31" t="s">
        <v>1180</v>
      </c>
      <c r="B505" s="31" t="s">
        <v>1181</v>
      </c>
      <c r="C505" s="31" t="str">
        <f t="shared" si="7"/>
        <v>MBAYE Ndeye-Birima</v>
      </c>
      <c r="D505" s="31" t="s">
        <v>242</v>
      </c>
      <c r="E505" s="31" t="s">
        <v>389</v>
      </c>
    </row>
    <row r="506" spans="1:5">
      <c r="A506" s="31" t="s">
        <v>1182</v>
      </c>
      <c r="B506" s="31" t="s">
        <v>403</v>
      </c>
      <c r="C506" s="31" t="str">
        <f t="shared" si="7"/>
        <v>MEBREK Bilal</v>
      </c>
      <c r="D506" s="31" t="s">
        <v>242</v>
      </c>
      <c r="E506" s="31" t="s">
        <v>289</v>
      </c>
    </row>
    <row r="507" spans="1:5">
      <c r="A507" s="31" t="s">
        <v>1183</v>
      </c>
      <c r="B507" s="31" t="s">
        <v>1184</v>
      </c>
      <c r="C507" s="31" t="str">
        <f t="shared" si="7"/>
        <v>MECHERI Sofian</v>
      </c>
      <c r="D507" s="31" t="s">
        <v>242</v>
      </c>
      <c r="E507" s="31" t="s">
        <v>432</v>
      </c>
    </row>
    <row r="508" spans="1:5">
      <c r="A508" s="31" t="s">
        <v>1185</v>
      </c>
      <c r="B508" s="31" t="s">
        <v>937</v>
      </c>
      <c r="C508" s="31" t="str">
        <f t="shared" si="7"/>
        <v>MEHDAOUI-JORGE Adam</v>
      </c>
      <c r="D508" s="31" t="s">
        <v>242</v>
      </c>
      <c r="E508" s="31" t="s">
        <v>332</v>
      </c>
    </row>
    <row r="509" spans="1:5">
      <c r="A509" s="31" t="s">
        <v>1185</v>
      </c>
      <c r="B509" s="31" t="s">
        <v>1186</v>
      </c>
      <c r="C509" s="31" t="str">
        <f t="shared" si="7"/>
        <v>MEHDAOUI-JORGE Elias</v>
      </c>
      <c r="D509" s="31" t="s">
        <v>242</v>
      </c>
      <c r="E509" s="31" t="s">
        <v>338</v>
      </c>
    </row>
    <row r="510" spans="1:5">
      <c r="A510" s="31" t="s">
        <v>1187</v>
      </c>
      <c r="B510" s="31" t="s">
        <v>1188</v>
      </c>
      <c r="C510" s="31" t="str">
        <f t="shared" si="7"/>
        <v>MEKDOUD Lyliane</v>
      </c>
      <c r="D510" s="31" t="s">
        <v>242</v>
      </c>
      <c r="E510" s="31" t="s">
        <v>283</v>
      </c>
    </row>
    <row r="511" spans="1:5">
      <c r="A511" s="31" t="s">
        <v>1189</v>
      </c>
      <c r="B511" s="31" t="s">
        <v>1190</v>
      </c>
      <c r="C511" s="31" t="str">
        <f t="shared" si="7"/>
        <v>MELLALI Jassim</v>
      </c>
      <c r="D511" s="31" t="s">
        <v>242</v>
      </c>
      <c r="E511" s="31" t="s">
        <v>338</v>
      </c>
    </row>
    <row r="512" spans="1:5">
      <c r="A512" s="31" t="s">
        <v>1191</v>
      </c>
      <c r="B512" s="31" t="s">
        <v>577</v>
      </c>
      <c r="C512" s="31" t="str">
        <f t="shared" si="7"/>
        <v>MENCUCCINI Matteo</v>
      </c>
      <c r="D512" s="31" t="s">
        <v>242</v>
      </c>
      <c r="E512" s="31" t="s">
        <v>261</v>
      </c>
    </row>
    <row r="513" spans="1:5">
      <c r="A513" s="31" t="s">
        <v>1192</v>
      </c>
      <c r="B513" s="31" t="s">
        <v>1193</v>
      </c>
      <c r="C513" s="31" t="str">
        <f t="shared" si="7"/>
        <v>MENDES Joaquim</v>
      </c>
      <c r="D513" s="31" t="s">
        <v>242</v>
      </c>
      <c r="E513" s="31" t="s">
        <v>308</v>
      </c>
    </row>
    <row r="514" spans="1:5">
      <c r="A514" s="31" t="s">
        <v>1194</v>
      </c>
      <c r="B514" s="31" t="s">
        <v>1195</v>
      </c>
      <c r="C514" s="31" t="str">
        <f t="shared" si="7"/>
        <v>MENDES GOMES Bryan</v>
      </c>
      <c r="D514" s="31" t="s">
        <v>242</v>
      </c>
      <c r="E514" s="31" t="s">
        <v>443</v>
      </c>
    </row>
    <row r="515" spans="1:5">
      <c r="A515" s="31" t="s">
        <v>1196</v>
      </c>
      <c r="B515" s="31" t="s">
        <v>1197</v>
      </c>
      <c r="C515" s="31" t="str">
        <f t="shared" ref="C515:C578" si="8">_xlfn.CONCAT(A515, " ",B515)</f>
        <v>MENDES VARELA Adelsino</v>
      </c>
      <c r="D515" s="31" t="s">
        <v>242</v>
      </c>
      <c r="E515" s="31" t="s">
        <v>451</v>
      </c>
    </row>
    <row r="516" spans="1:5">
      <c r="A516" s="31" t="s">
        <v>1198</v>
      </c>
      <c r="B516" s="31" t="s">
        <v>1199</v>
      </c>
      <c r="C516" s="31" t="str">
        <f t="shared" si="8"/>
        <v>MENDY Hyppolite</v>
      </c>
      <c r="D516" s="31" t="s">
        <v>242</v>
      </c>
      <c r="E516" s="31" t="s">
        <v>348</v>
      </c>
    </row>
    <row r="517" spans="1:5">
      <c r="A517" s="31" t="s">
        <v>322</v>
      </c>
      <c r="B517" s="31" t="s">
        <v>323</v>
      </c>
      <c r="C517" s="31" t="str">
        <f t="shared" si="8"/>
        <v>MERDAS Mouhoub</v>
      </c>
      <c r="D517" s="31" t="s">
        <v>242</v>
      </c>
      <c r="E517" s="31" t="s">
        <v>247</v>
      </c>
    </row>
    <row r="518" spans="1:5">
      <c r="A518" s="31" t="s">
        <v>1200</v>
      </c>
      <c r="B518" s="31" t="s">
        <v>1201</v>
      </c>
      <c r="C518" s="31" t="str">
        <f t="shared" si="8"/>
        <v>MERESSE Maxence</v>
      </c>
      <c r="D518" s="31" t="s">
        <v>242</v>
      </c>
      <c r="E518" s="31" t="s">
        <v>277</v>
      </c>
    </row>
    <row r="519" spans="1:5">
      <c r="A519" s="31" t="s">
        <v>1202</v>
      </c>
      <c r="B519" s="31" t="s">
        <v>1203</v>
      </c>
      <c r="C519" s="31" t="str">
        <f t="shared" si="8"/>
        <v>MESPOULET Gregoire</v>
      </c>
      <c r="D519" s="31" t="s">
        <v>242</v>
      </c>
      <c r="E519" s="31" t="s">
        <v>389</v>
      </c>
    </row>
    <row r="520" spans="1:5">
      <c r="A520" s="31" t="s">
        <v>1204</v>
      </c>
      <c r="B520" s="31" t="s">
        <v>1205</v>
      </c>
      <c r="C520" s="31" t="str">
        <f t="shared" si="8"/>
        <v>MESSAI Rouida</v>
      </c>
      <c r="D520" s="31" t="s">
        <v>242</v>
      </c>
      <c r="E520" s="31" t="s">
        <v>395</v>
      </c>
    </row>
    <row r="521" spans="1:5">
      <c r="A521" s="31" t="s">
        <v>327</v>
      </c>
      <c r="B521" s="31" t="s">
        <v>328</v>
      </c>
      <c r="C521" s="31" t="str">
        <f t="shared" si="8"/>
        <v>MESSAOUI Tassadit dounia</v>
      </c>
      <c r="D521" s="31" t="s">
        <v>242</v>
      </c>
      <c r="E521" s="31" t="s">
        <v>247</v>
      </c>
    </row>
    <row r="522" spans="1:5">
      <c r="A522" s="31" t="s">
        <v>1206</v>
      </c>
      <c r="B522" s="31" t="s">
        <v>1119</v>
      </c>
      <c r="C522" s="31" t="str">
        <f t="shared" si="8"/>
        <v>METRI Kévin</v>
      </c>
      <c r="D522" s="31" t="s">
        <v>242</v>
      </c>
      <c r="E522" s="31" t="s">
        <v>536</v>
      </c>
    </row>
    <row r="523" spans="1:5">
      <c r="A523" s="31" t="s">
        <v>1207</v>
      </c>
      <c r="B523" s="31" t="s">
        <v>1195</v>
      </c>
      <c r="C523" s="31" t="str">
        <f t="shared" si="8"/>
        <v>MEYRAND Bryan</v>
      </c>
      <c r="D523" s="31" t="s">
        <v>242</v>
      </c>
      <c r="E523" s="31" t="s">
        <v>412</v>
      </c>
    </row>
    <row r="524" spans="1:5">
      <c r="A524" s="31" t="s">
        <v>1208</v>
      </c>
      <c r="B524" s="31" t="s">
        <v>291</v>
      </c>
      <c r="C524" s="31" t="str">
        <f t="shared" si="8"/>
        <v>MICHAMBLE Nathan</v>
      </c>
      <c r="D524" s="31" t="s">
        <v>242</v>
      </c>
      <c r="E524" s="31" t="s">
        <v>308</v>
      </c>
    </row>
    <row r="525" spans="1:5">
      <c r="A525" s="31" t="s">
        <v>1209</v>
      </c>
      <c r="B525" s="31" t="s">
        <v>1210</v>
      </c>
      <c r="C525" s="31" t="str">
        <f t="shared" si="8"/>
        <v>MICHEL Matthieu</v>
      </c>
      <c r="D525" s="31" t="s">
        <v>242</v>
      </c>
      <c r="E525" s="31" t="s">
        <v>432</v>
      </c>
    </row>
    <row r="526" spans="1:5">
      <c r="A526" s="31" t="s">
        <v>1211</v>
      </c>
      <c r="B526" s="31" t="s">
        <v>1212</v>
      </c>
      <c r="C526" s="31" t="str">
        <f t="shared" si="8"/>
        <v>MILLION-BRODAZ Dorian</v>
      </c>
      <c r="D526" s="31" t="s">
        <v>242</v>
      </c>
      <c r="E526" s="31" t="s">
        <v>277</v>
      </c>
    </row>
    <row r="527" spans="1:5">
      <c r="A527" s="31" t="s">
        <v>1213</v>
      </c>
      <c r="B527" s="31" t="s">
        <v>1214</v>
      </c>
      <c r="C527" s="31" t="str">
        <f t="shared" si="8"/>
        <v>MINATCHY Loan</v>
      </c>
      <c r="D527" s="31" t="s">
        <v>242</v>
      </c>
      <c r="E527" s="31" t="s">
        <v>250</v>
      </c>
    </row>
    <row r="528" spans="1:5">
      <c r="A528" s="31" t="s">
        <v>1215</v>
      </c>
      <c r="B528" s="31" t="s">
        <v>1216</v>
      </c>
      <c r="C528" s="31" t="str">
        <f t="shared" si="8"/>
        <v>MINORI Tristan</v>
      </c>
      <c r="D528" s="31" t="s">
        <v>242</v>
      </c>
      <c r="E528" s="31" t="s">
        <v>256</v>
      </c>
    </row>
    <row r="529" spans="1:5">
      <c r="A529" s="31" t="s">
        <v>1217</v>
      </c>
      <c r="B529" s="31" t="s">
        <v>868</v>
      </c>
      <c r="C529" s="31" t="str">
        <f t="shared" si="8"/>
        <v>MOHAMED Youssef</v>
      </c>
      <c r="D529" s="31" t="s">
        <v>242</v>
      </c>
      <c r="E529" s="31" t="s">
        <v>412</v>
      </c>
    </row>
    <row r="530" spans="1:5">
      <c r="A530" s="31" t="s">
        <v>1217</v>
      </c>
      <c r="B530" s="31" t="s">
        <v>561</v>
      </c>
      <c r="C530" s="31" t="str">
        <f t="shared" si="8"/>
        <v>MOHAMED Amir</v>
      </c>
      <c r="D530" s="31" t="s">
        <v>242</v>
      </c>
      <c r="E530" s="31" t="s">
        <v>446</v>
      </c>
    </row>
    <row r="531" spans="1:5">
      <c r="A531" s="31" t="s">
        <v>333</v>
      </c>
      <c r="B531" s="31" t="s">
        <v>334</v>
      </c>
      <c r="C531" s="31" t="str">
        <f t="shared" si="8"/>
        <v>MOHAMED ELECTON Shamcya</v>
      </c>
      <c r="D531" s="31" t="s">
        <v>242</v>
      </c>
      <c r="E531" s="31" t="s">
        <v>247</v>
      </c>
    </row>
    <row r="532" spans="1:5">
      <c r="A532" s="31" t="s">
        <v>1218</v>
      </c>
      <c r="B532" s="31" t="s">
        <v>1219</v>
      </c>
      <c r="C532" s="31" t="str">
        <f t="shared" si="8"/>
        <v>MOHAMED RAFI Zahine</v>
      </c>
      <c r="D532" s="31" t="s">
        <v>242</v>
      </c>
      <c r="E532" s="31" t="s">
        <v>443</v>
      </c>
    </row>
    <row r="533" spans="1:5">
      <c r="A533" s="31" t="s">
        <v>1220</v>
      </c>
      <c r="B533" s="31" t="s">
        <v>403</v>
      </c>
      <c r="C533" s="31" t="str">
        <f t="shared" si="8"/>
        <v>MOHAMMAD Bilal</v>
      </c>
      <c r="D533" s="31" t="s">
        <v>242</v>
      </c>
      <c r="E533" s="31" t="s">
        <v>371</v>
      </c>
    </row>
    <row r="534" spans="1:5">
      <c r="A534" s="31" t="s">
        <v>1221</v>
      </c>
      <c r="B534" s="31" t="s">
        <v>445</v>
      </c>
      <c r="C534" s="31" t="str">
        <f t="shared" si="8"/>
        <v>MOKEDDEM Nassim</v>
      </c>
      <c r="D534" s="31" t="s">
        <v>242</v>
      </c>
      <c r="E534" s="31" t="s">
        <v>348</v>
      </c>
    </row>
    <row r="535" spans="1:5">
      <c r="A535" s="31" t="s">
        <v>1222</v>
      </c>
      <c r="B535" s="31" t="s">
        <v>1223</v>
      </c>
      <c r="C535" s="31" t="str">
        <f t="shared" si="8"/>
        <v>MOMBO Darwin</v>
      </c>
      <c r="D535" s="31" t="s">
        <v>242</v>
      </c>
      <c r="E535" s="31" t="s">
        <v>418</v>
      </c>
    </row>
    <row r="536" spans="1:5">
      <c r="A536" s="31" t="s">
        <v>1224</v>
      </c>
      <c r="B536" s="31" t="s">
        <v>1225</v>
      </c>
      <c r="C536" s="31" t="str">
        <f t="shared" si="8"/>
        <v>MOREAU Elric</v>
      </c>
      <c r="D536" s="31" t="s">
        <v>242</v>
      </c>
      <c r="E536" s="31" t="s">
        <v>443</v>
      </c>
    </row>
    <row r="537" spans="1:5">
      <c r="A537" s="31" t="s">
        <v>1226</v>
      </c>
      <c r="B537" s="31" t="s">
        <v>847</v>
      </c>
      <c r="C537" s="31" t="str">
        <f t="shared" si="8"/>
        <v>MORENO Julien</v>
      </c>
      <c r="D537" s="31" t="s">
        <v>242</v>
      </c>
      <c r="E537" s="31" t="s">
        <v>406</v>
      </c>
    </row>
    <row r="538" spans="1:5">
      <c r="A538" s="31" t="s">
        <v>1227</v>
      </c>
      <c r="B538" s="31" t="s">
        <v>485</v>
      </c>
      <c r="C538" s="31" t="str">
        <f t="shared" si="8"/>
        <v>MORGAT Mathieu</v>
      </c>
      <c r="D538" s="31" t="s">
        <v>242</v>
      </c>
      <c r="E538" s="31" t="s">
        <v>332</v>
      </c>
    </row>
    <row r="539" spans="1:5">
      <c r="A539" s="31" t="s">
        <v>339</v>
      </c>
      <c r="B539" s="31" t="s">
        <v>340</v>
      </c>
      <c r="C539" s="31" t="str">
        <f t="shared" si="8"/>
        <v>MOSTEFAOUI Youness</v>
      </c>
      <c r="D539" s="31" t="s">
        <v>242</v>
      </c>
      <c r="E539" s="31" t="s">
        <v>247</v>
      </c>
    </row>
    <row r="540" spans="1:5">
      <c r="A540" s="31" t="s">
        <v>1228</v>
      </c>
      <c r="B540" s="31" t="s">
        <v>1229</v>
      </c>
      <c r="C540" s="31" t="str">
        <f t="shared" si="8"/>
        <v>MOUFID Abdelkarim</v>
      </c>
      <c r="D540" s="31" t="s">
        <v>242</v>
      </c>
      <c r="E540" s="31" t="s">
        <v>261</v>
      </c>
    </row>
    <row r="541" spans="1:5">
      <c r="A541" s="31" t="s">
        <v>1230</v>
      </c>
      <c r="B541" s="31" t="s">
        <v>1231</v>
      </c>
      <c r="C541" s="31" t="str">
        <f t="shared" si="8"/>
        <v>MOUGAMMADOU ZACCARIA Zaafir</v>
      </c>
      <c r="D541" s="31" t="s">
        <v>242</v>
      </c>
      <c r="E541" s="31" t="s">
        <v>454</v>
      </c>
    </row>
    <row r="542" spans="1:5">
      <c r="A542" s="31" t="s">
        <v>1232</v>
      </c>
      <c r="B542" s="31" t="s">
        <v>427</v>
      </c>
      <c r="C542" s="31" t="str">
        <f t="shared" si="8"/>
        <v>MOUHIM Hamza</v>
      </c>
      <c r="D542" s="31" t="s">
        <v>242</v>
      </c>
      <c r="E542" s="31" t="s">
        <v>395</v>
      </c>
    </row>
    <row r="543" spans="1:5">
      <c r="A543" s="31" t="s">
        <v>1233</v>
      </c>
      <c r="B543" s="31" t="s">
        <v>304</v>
      </c>
      <c r="C543" s="31" t="str">
        <f t="shared" si="8"/>
        <v>MOURA Antoine</v>
      </c>
      <c r="D543" s="31" t="s">
        <v>242</v>
      </c>
      <c r="E543" s="31" t="s">
        <v>395</v>
      </c>
    </row>
    <row r="544" spans="1:5">
      <c r="A544" s="31" t="s">
        <v>344</v>
      </c>
      <c r="B544" s="31" t="s">
        <v>1234</v>
      </c>
      <c r="C544" s="31" t="str">
        <f t="shared" si="8"/>
        <v>MOUSSA Firdaousse</v>
      </c>
      <c r="D544" s="31" t="s">
        <v>242</v>
      </c>
      <c r="E544" s="31" t="s">
        <v>332</v>
      </c>
    </row>
    <row r="545" spans="1:5">
      <c r="A545" s="31" t="s">
        <v>344</v>
      </c>
      <c r="B545" s="31" t="s">
        <v>331</v>
      </c>
      <c r="C545" s="31" t="str">
        <f t="shared" si="8"/>
        <v>MOUSSA Mohamed</v>
      </c>
      <c r="D545" s="31" t="s">
        <v>242</v>
      </c>
      <c r="E545" s="31" t="s">
        <v>247</v>
      </c>
    </row>
    <row r="546" spans="1:5">
      <c r="A546" s="31" t="s">
        <v>1235</v>
      </c>
      <c r="B546" s="31" t="s">
        <v>494</v>
      </c>
      <c r="C546" s="31" t="str">
        <f t="shared" si="8"/>
        <v>MTALSI Mehdi</v>
      </c>
      <c r="D546" s="31" t="s">
        <v>242</v>
      </c>
      <c r="E546" s="31" t="s">
        <v>418</v>
      </c>
    </row>
    <row r="547" spans="1:5">
      <c r="A547" s="31" t="s">
        <v>1236</v>
      </c>
      <c r="B547" s="31" t="s">
        <v>1237</v>
      </c>
      <c r="C547" s="31" t="str">
        <f t="shared" si="8"/>
        <v>MUHAMMAD Umair</v>
      </c>
      <c r="D547" s="31" t="s">
        <v>242</v>
      </c>
      <c r="E547" s="31" t="s">
        <v>289</v>
      </c>
    </row>
    <row r="548" spans="1:5">
      <c r="A548" s="31" t="s">
        <v>1238</v>
      </c>
      <c r="B548" s="31" t="s">
        <v>1239</v>
      </c>
      <c r="C548" s="31" t="str">
        <f t="shared" si="8"/>
        <v>MVAKANGA Jean-Marie</v>
      </c>
      <c r="D548" s="31" t="s">
        <v>242</v>
      </c>
      <c r="E548" s="31" t="s">
        <v>418</v>
      </c>
    </row>
    <row r="549" spans="1:5">
      <c r="A549" s="31" t="s">
        <v>1240</v>
      </c>
      <c r="B549" s="31" t="s">
        <v>1241</v>
      </c>
      <c r="C549" s="31" t="str">
        <f t="shared" si="8"/>
        <v>MZOUGHI Ella</v>
      </c>
      <c r="D549" s="31" t="s">
        <v>242</v>
      </c>
      <c r="E549" s="31" t="s">
        <v>451</v>
      </c>
    </row>
    <row r="550" spans="1:5">
      <c r="A550" s="31" t="s">
        <v>1242</v>
      </c>
      <c r="B550" s="31" t="s">
        <v>786</v>
      </c>
      <c r="C550" s="31" t="str">
        <f t="shared" si="8"/>
        <v>N HAR Sofiane</v>
      </c>
      <c r="D550" s="31" t="s">
        <v>242</v>
      </c>
      <c r="E550" s="31" t="s">
        <v>443</v>
      </c>
    </row>
    <row r="551" spans="1:5">
      <c r="A551" s="31" t="s">
        <v>1243</v>
      </c>
      <c r="B551" s="31" t="s">
        <v>331</v>
      </c>
      <c r="C551" s="31" t="str">
        <f t="shared" si="8"/>
        <v>N'AIT BOUFOUS Mohamed</v>
      </c>
      <c r="D551" s="31" t="s">
        <v>242</v>
      </c>
      <c r="E551" s="31" t="s">
        <v>454</v>
      </c>
    </row>
    <row r="552" spans="1:5">
      <c r="A552" s="31" t="s">
        <v>1244</v>
      </c>
      <c r="B552" s="31" t="s">
        <v>1245</v>
      </c>
      <c r="C552" s="31" t="str">
        <f t="shared" si="8"/>
        <v>N'DIAYE Souaibou</v>
      </c>
      <c r="D552" s="31" t="s">
        <v>242</v>
      </c>
      <c r="E552" s="31" t="s">
        <v>454</v>
      </c>
    </row>
    <row r="553" spans="1:5">
      <c r="A553" s="31" t="s">
        <v>1246</v>
      </c>
      <c r="B553" s="31" t="s">
        <v>1247</v>
      </c>
      <c r="C553" s="31" t="str">
        <f t="shared" si="8"/>
        <v>NAFISA AMWEZE Rosy</v>
      </c>
      <c r="D553" s="31" t="s">
        <v>242</v>
      </c>
      <c r="E553" s="31" t="s">
        <v>360</v>
      </c>
    </row>
    <row r="554" spans="1:5">
      <c r="A554" s="31" t="s">
        <v>1248</v>
      </c>
      <c r="B554" s="31" t="s">
        <v>726</v>
      </c>
      <c r="C554" s="31" t="str">
        <f t="shared" si="8"/>
        <v>NAJI Djibril</v>
      </c>
      <c r="D554" s="31" t="s">
        <v>242</v>
      </c>
      <c r="E554" s="31" t="s">
        <v>332</v>
      </c>
    </row>
    <row r="555" spans="1:5">
      <c r="A555" s="31" t="s">
        <v>1249</v>
      </c>
      <c r="B555" s="31" t="s">
        <v>1250</v>
      </c>
      <c r="C555" s="31" t="str">
        <f t="shared" si="8"/>
        <v>NAMOR Jordan</v>
      </c>
      <c r="D555" s="31" t="s">
        <v>242</v>
      </c>
      <c r="E555" s="31" t="s">
        <v>432</v>
      </c>
    </row>
    <row r="556" spans="1:5">
      <c r="A556" s="31" t="s">
        <v>1251</v>
      </c>
      <c r="B556" s="31" t="s">
        <v>1252</v>
      </c>
      <c r="C556" s="31" t="str">
        <f t="shared" si="8"/>
        <v>NASR Abdalla</v>
      </c>
      <c r="D556" s="31" t="s">
        <v>242</v>
      </c>
      <c r="E556" s="31" t="s">
        <v>261</v>
      </c>
    </row>
    <row r="557" spans="1:5">
      <c r="A557" s="31" t="s">
        <v>1253</v>
      </c>
      <c r="B557" s="31" t="s">
        <v>1254</v>
      </c>
      <c r="C557" s="31" t="str">
        <f t="shared" si="8"/>
        <v>NATAF Elie</v>
      </c>
      <c r="D557" s="31" t="s">
        <v>242</v>
      </c>
      <c r="E557" s="31" t="s">
        <v>354</v>
      </c>
    </row>
    <row r="558" spans="1:5">
      <c r="A558" s="31" t="s">
        <v>1255</v>
      </c>
      <c r="B558" s="31" t="s">
        <v>1256</v>
      </c>
      <c r="C558" s="31" t="str">
        <f t="shared" si="8"/>
        <v>NDIONE Caroline</v>
      </c>
      <c r="D558" s="31" t="s">
        <v>242</v>
      </c>
      <c r="E558" s="31" t="s">
        <v>451</v>
      </c>
    </row>
    <row r="559" spans="1:5">
      <c r="A559" s="31" t="s">
        <v>1257</v>
      </c>
      <c r="B559" s="31" t="s">
        <v>1258</v>
      </c>
      <c r="C559" s="31" t="str">
        <f t="shared" si="8"/>
        <v>NEGROUCHE Manel</v>
      </c>
      <c r="D559" s="31" t="s">
        <v>242</v>
      </c>
      <c r="E559" s="31" t="s">
        <v>418</v>
      </c>
    </row>
    <row r="560" spans="1:5">
      <c r="A560" s="31" t="s">
        <v>1259</v>
      </c>
      <c r="B560" s="31" t="s">
        <v>1260</v>
      </c>
      <c r="C560" s="31" t="str">
        <f t="shared" si="8"/>
        <v>NGANKEU SANDJI Roche Sidney</v>
      </c>
      <c r="D560" s="31" t="s">
        <v>242</v>
      </c>
      <c r="E560" s="31" t="s">
        <v>454</v>
      </c>
    </row>
    <row r="561" spans="1:5">
      <c r="A561" s="31" t="s">
        <v>1261</v>
      </c>
      <c r="B561" s="31" t="s">
        <v>1262</v>
      </c>
      <c r="C561" s="31" t="str">
        <f t="shared" si="8"/>
        <v>NGOUENET TALLA Gaetan Dimitri</v>
      </c>
      <c r="D561" s="31" t="s">
        <v>242</v>
      </c>
      <c r="E561" s="31" t="s">
        <v>243</v>
      </c>
    </row>
    <row r="562" spans="1:5">
      <c r="A562" s="31" t="s">
        <v>1263</v>
      </c>
      <c r="B562" s="31" t="s">
        <v>1264</v>
      </c>
      <c r="C562" s="31" t="str">
        <f t="shared" si="8"/>
        <v>NGUYEN Minh Kha</v>
      </c>
      <c r="D562" s="31" t="s">
        <v>242</v>
      </c>
      <c r="E562" s="31" t="s">
        <v>432</v>
      </c>
    </row>
    <row r="563" spans="1:5">
      <c r="A563" s="31" t="s">
        <v>1265</v>
      </c>
      <c r="B563" s="31" t="s">
        <v>1266</v>
      </c>
      <c r="C563" s="31" t="str">
        <f t="shared" si="8"/>
        <v>NGUYEN VAN BA Kenzo</v>
      </c>
      <c r="D563" s="31" t="s">
        <v>242</v>
      </c>
      <c r="E563" s="31" t="s">
        <v>289</v>
      </c>
    </row>
    <row r="564" spans="1:5">
      <c r="A564" s="31" t="s">
        <v>1267</v>
      </c>
      <c r="B564" s="31" t="s">
        <v>1268</v>
      </c>
      <c r="C564" s="31" t="str">
        <f t="shared" si="8"/>
        <v>NIANGHANE Adame</v>
      </c>
      <c r="D564" s="31" t="s">
        <v>242</v>
      </c>
      <c r="E564" s="31" t="s">
        <v>454</v>
      </c>
    </row>
    <row r="565" spans="1:5">
      <c r="A565" s="31" t="s">
        <v>1269</v>
      </c>
      <c r="B565" s="31" t="s">
        <v>1270</v>
      </c>
      <c r="C565" s="31" t="str">
        <f t="shared" si="8"/>
        <v>NICOLAU Marcel</v>
      </c>
      <c r="D565" s="31" t="s">
        <v>242</v>
      </c>
      <c r="E565" s="31" t="s">
        <v>256</v>
      </c>
    </row>
    <row r="566" spans="1:5">
      <c r="A566" s="31" t="s">
        <v>1271</v>
      </c>
      <c r="B566" s="31" t="s">
        <v>1272</v>
      </c>
      <c r="C566" s="31" t="str">
        <f t="shared" si="8"/>
        <v>NIMAGA Djery</v>
      </c>
      <c r="D566" s="31" t="s">
        <v>242</v>
      </c>
      <c r="E566" s="31" t="s">
        <v>2</v>
      </c>
    </row>
    <row r="567" spans="1:5">
      <c r="A567" s="31" t="s">
        <v>1273</v>
      </c>
      <c r="B567" s="31" t="s">
        <v>1274</v>
      </c>
      <c r="C567" s="31" t="str">
        <f t="shared" si="8"/>
        <v>NKOUDOU ESSOMBONO Raphaela</v>
      </c>
      <c r="D567" s="31" t="s">
        <v>242</v>
      </c>
      <c r="E567" s="31" t="s">
        <v>383</v>
      </c>
    </row>
    <row r="568" spans="1:5">
      <c r="A568" s="31" t="s">
        <v>1275</v>
      </c>
      <c r="B568" s="31" t="s">
        <v>1276</v>
      </c>
      <c r="C568" s="31" t="str">
        <f t="shared" si="8"/>
        <v>NORZIELUS James</v>
      </c>
      <c r="D568" s="31" t="s">
        <v>242</v>
      </c>
      <c r="E568" s="31" t="s">
        <v>277</v>
      </c>
    </row>
    <row r="569" spans="1:5">
      <c r="A569" s="31" t="s">
        <v>1277</v>
      </c>
      <c r="B569" s="31" t="s">
        <v>1278</v>
      </c>
      <c r="C569" s="31" t="str">
        <f t="shared" si="8"/>
        <v>NOULENGBE Nounamey</v>
      </c>
      <c r="D569" s="31" t="s">
        <v>242</v>
      </c>
      <c r="E569" s="31" t="s">
        <v>2</v>
      </c>
    </row>
    <row r="570" spans="1:5">
      <c r="A570" s="31" t="s">
        <v>1279</v>
      </c>
      <c r="B570" s="31" t="s">
        <v>1280</v>
      </c>
      <c r="C570" s="31" t="str">
        <f t="shared" si="8"/>
        <v>NSUKULA NTOTO Béni Joseph</v>
      </c>
      <c r="D570" s="31" t="s">
        <v>242</v>
      </c>
      <c r="E570" s="31" t="s">
        <v>297</v>
      </c>
    </row>
    <row r="571" spans="1:5">
      <c r="A571" s="31" t="s">
        <v>349</v>
      </c>
      <c r="B571" s="31" t="s">
        <v>350</v>
      </c>
      <c r="C571" s="31" t="str">
        <f t="shared" si="8"/>
        <v>NYOURI Taha-Yassine</v>
      </c>
      <c r="D571" s="31" t="s">
        <v>242</v>
      </c>
      <c r="E571" s="31" t="s">
        <v>247</v>
      </c>
    </row>
    <row r="572" spans="1:5">
      <c r="A572" s="31" t="s">
        <v>1281</v>
      </c>
      <c r="B572" s="31" t="s">
        <v>1282</v>
      </c>
      <c r="C572" s="31" t="str">
        <f t="shared" si="8"/>
        <v>NZEZA NDOMBASI Gédéon</v>
      </c>
      <c r="D572" s="31" t="s">
        <v>242</v>
      </c>
      <c r="E572" s="31" t="s">
        <v>250</v>
      </c>
    </row>
    <row r="573" spans="1:5">
      <c r="A573" s="31" t="s">
        <v>1283</v>
      </c>
      <c r="B573" s="31" t="s">
        <v>485</v>
      </c>
      <c r="C573" s="31" t="str">
        <f t="shared" si="8"/>
        <v>NZINGA Mathieu</v>
      </c>
      <c r="D573" s="31" t="s">
        <v>242</v>
      </c>
      <c r="E573" s="31" t="s">
        <v>2</v>
      </c>
    </row>
    <row r="574" spans="1:5">
      <c r="A574" s="31" t="s">
        <v>1284</v>
      </c>
      <c r="B574" s="31" t="s">
        <v>1285</v>
      </c>
      <c r="C574" s="31" t="str">
        <f t="shared" si="8"/>
        <v>OCCANSEY Komlan</v>
      </c>
      <c r="D574" s="31" t="s">
        <v>242</v>
      </c>
      <c r="E574" s="31" t="s">
        <v>412</v>
      </c>
    </row>
    <row r="575" spans="1:5">
      <c r="A575" s="31" t="s">
        <v>1286</v>
      </c>
      <c r="B575" s="31" t="s">
        <v>858</v>
      </c>
      <c r="C575" s="31" t="str">
        <f t="shared" si="8"/>
        <v>OMPHALIUS Valentin</v>
      </c>
      <c r="D575" s="31" t="s">
        <v>242</v>
      </c>
      <c r="E575" s="31" t="s">
        <v>495</v>
      </c>
    </row>
    <row r="576" spans="1:5">
      <c r="A576" s="31" t="s">
        <v>1287</v>
      </c>
      <c r="B576" s="31" t="s">
        <v>1288</v>
      </c>
      <c r="C576" s="31" t="str">
        <f t="shared" si="8"/>
        <v>ORUBA Victoria</v>
      </c>
      <c r="D576" s="31" t="s">
        <v>242</v>
      </c>
      <c r="E576" s="31" t="s">
        <v>243</v>
      </c>
    </row>
    <row r="577" spans="1:5">
      <c r="A577" s="31" t="s">
        <v>1289</v>
      </c>
      <c r="B577" s="31" t="s">
        <v>1290</v>
      </c>
      <c r="C577" s="31" t="str">
        <f t="shared" si="8"/>
        <v>OSSEUX Lenny</v>
      </c>
      <c r="D577" s="31" t="s">
        <v>242</v>
      </c>
      <c r="E577" s="31" t="s">
        <v>443</v>
      </c>
    </row>
    <row r="578" spans="1:5">
      <c r="A578" s="31" t="s">
        <v>1291</v>
      </c>
      <c r="B578" s="31" t="s">
        <v>1292</v>
      </c>
      <c r="C578" s="31" t="str">
        <f t="shared" si="8"/>
        <v>OUALAD Kaoutar</v>
      </c>
      <c r="D578" s="31" t="s">
        <v>242</v>
      </c>
      <c r="E578" s="31" t="s">
        <v>250</v>
      </c>
    </row>
    <row r="579" spans="1:5">
      <c r="A579" s="31" t="s">
        <v>1293</v>
      </c>
      <c r="B579" s="31" t="s">
        <v>1294</v>
      </c>
      <c r="C579" s="31" t="str">
        <f t="shared" ref="C579:C642" si="9">_xlfn.CONCAT(A579, " ",B579)</f>
        <v>OUANASSI Zakaria</v>
      </c>
      <c r="D579" s="31" t="s">
        <v>242</v>
      </c>
      <c r="E579" s="31" t="s">
        <v>443</v>
      </c>
    </row>
    <row r="580" spans="1:5">
      <c r="A580" s="31" t="s">
        <v>1295</v>
      </c>
      <c r="B580" s="31" t="s">
        <v>1296</v>
      </c>
      <c r="C580" s="31" t="str">
        <f t="shared" si="9"/>
        <v>OUATIK Khalid</v>
      </c>
      <c r="D580" s="31" t="s">
        <v>242</v>
      </c>
      <c r="E580" s="31" t="s">
        <v>451</v>
      </c>
    </row>
    <row r="581" spans="1:5">
      <c r="A581" s="31" t="s">
        <v>1297</v>
      </c>
      <c r="B581" s="31" t="s">
        <v>868</v>
      </c>
      <c r="C581" s="31" t="str">
        <f t="shared" si="9"/>
        <v>OUCHTAINE Youssef</v>
      </c>
      <c r="D581" s="31" t="s">
        <v>242</v>
      </c>
      <c r="E581" s="31" t="s">
        <v>418</v>
      </c>
    </row>
    <row r="582" spans="1:5">
      <c r="A582" s="31" t="s">
        <v>1298</v>
      </c>
      <c r="B582" s="31" t="s">
        <v>928</v>
      </c>
      <c r="C582" s="31" t="str">
        <f t="shared" si="9"/>
        <v>OUFKER Issam</v>
      </c>
      <c r="D582" s="31" t="s">
        <v>242</v>
      </c>
      <c r="E582" s="31" t="s">
        <v>261</v>
      </c>
    </row>
    <row r="583" spans="1:5">
      <c r="A583" s="31" t="s">
        <v>355</v>
      </c>
      <c r="B583" s="31" t="s">
        <v>356</v>
      </c>
      <c r="C583" s="31" t="str">
        <f t="shared" si="9"/>
        <v>OUMAZIZ Houria Hanane</v>
      </c>
      <c r="D583" s="31" t="s">
        <v>242</v>
      </c>
      <c r="E583" s="31" t="s">
        <v>247</v>
      </c>
    </row>
    <row r="584" spans="1:5">
      <c r="A584" s="31" t="s">
        <v>1299</v>
      </c>
      <c r="B584" s="31" t="s">
        <v>647</v>
      </c>
      <c r="C584" s="31" t="str">
        <f t="shared" si="9"/>
        <v>OUSMAAL Sami</v>
      </c>
      <c r="D584" s="31" t="s">
        <v>242</v>
      </c>
      <c r="E584" s="31" t="s">
        <v>283</v>
      </c>
    </row>
    <row r="585" spans="1:5">
      <c r="A585" s="31" t="s">
        <v>1300</v>
      </c>
      <c r="B585" s="31" t="s">
        <v>1301</v>
      </c>
      <c r="C585" s="31" t="str">
        <f t="shared" si="9"/>
        <v>OUSSI Ismaël</v>
      </c>
      <c r="D585" s="31" t="s">
        <v>242</v>
      </c>
      <c r="E585" s="31" t="s">
        <v>256</v>
      </c>
    </row>
    <row r="586" spans="1:5">
      <c r="A586" s="31" t="s">
        <v>1302</v>
      </c>
      <c r="B586" s="31" t="s">
        <v>1303</v>
      </c>
      <c r="C586" s="31" t="str">
        <f t="shared" si="9"/>
        <v>PADURET Stelian</v>
      </c>
      <c r="D586" s="31" t="s">
        <v>242</v>
      </c>
      <c r="E586" s="31" t="s">
        <v>446</v>
      </c>
    </row>
    <row r="587" spans="1:5">
      <c r="A587" s="31" t="s">
        <v>1304</v>
      </c>
      <c r="B587" s="31" t="s">
        <v>1305</v>
      </c>
      <c r="C587" s="31" t="str">
        <f t="shared" si="9"/>
        <v>PAILLOU Jean-Maxime</v>
      </c>
      <c r="D587" s="31" t="s">
        <v>242</v>
      </c>
      <c r="E587" s="31" t="s">
        <v>446</v>
      </c>
    </row>
    <row r="588" spans="1:5">
      <c r="A588" s="31" t="s">
        <v>1306</v>
      </c>
      <c r="B588" s="31" t="s">
        <v>470</v>
      </c>
      <c r="C588" s="31" t="str">
        <f t="shared" si="9"/>
        <v>PALAMINI Kylian</v>
      </c>
      <c r="D588" s="31" t="s">
        <v>242</v>
      </c>
      <c r="E588" s="31" t="s">
        <v>389</v>
      </c>
    </row>
    <row r="589" spans="1:5">
      <c r="A589" s="31" t="s">
        <v>1307</v>
      </c>
      <c r="B589" s="31" t="s">
        <v>1308</v>
      </c>
      <c r="C589" s="31" t="str">
        <f t="shared" si="9"/>
        <v>PALENZUELA Jeffrey</v>
      </c>
      <c r="D589" s="31" t="s">
        <v>242</v>
      </c>
      <c r="E589" s="31" t="s">
        <v>354</v>
      </c>
    </row>
    <row r="590" spans="1:5">
      <c r="A590" s="31" t="s">
        <v>1309</v>
      </c>
      <c r="B590" s="31" t="s">
        <v>291</v>
      </c>
      <c r="C590" s="31" t="str">
        <f t="shared" si="9"/>
        <v>PALVADEAU Nathan</v>
      </c>
      <c r="D590" s="31" t="s">
        <v>242</v>
      </c>
      <c r="E590" s="31" t="s">
        <v>283</v>
      </c>
    </row>
    <row r="591" spans="1:5">
      <c r="A591" s="31" t="s">
        <v>1310</v>
      </c>
      <c r="B591" s="31" t="s">
        <v>655</v>
      </c>
      <c r="C591" s="31" t="str">
        <f t="shared" si="9"/>
        <v>PANNETIER Ethan</v>
      </c>
      <c r="D591" s="31" t="s">
        <v>242</v>
      </c>
      <c r="E591" s="31" t="s">
        <v>267</v>
      </c>
    </row>
    <row r="592" spans="1:5">
      <c r="A592" s="31" t="s">
        <v>1311</v>
      </c>
      <c r="B592" s="31" t="s">
        <v>594</v>
      </c>
      <c r="C592" s="31" t="str">
        <f t="shared" si="9"/>
        <v>PASSOS DOS SANTOS David</v>
      </c>
      <c r="D592" s="31" t="s">
        <v>242</v>
      </c>
      <c r="E592" s="31" t="s">
        <v>289</v>
      </c>
    </row>
    <row r="593" spans="1:5">
      <c r="A593" s="31" t="s">
        <v>1312</v>
      </c>
      <c r="B593" s="31" t="s">
        <v>937</v>
      </c>
      <c r="C593" s="31" t="str">
        <f t="shared" si="9"/>
        <v>PASTRE Adam</v>
      </c>
      <c r="D593" s="31" t="s">
        <v>242</v>
      </c>
      <c r="E593" s="31" t="s">
        <v>277</v>
      </c>
    </row>
    <row r="594" spans="1:5">
      <c r="A594" s="31" t="s">
        <v>1313</v>
      </c>
      <c r="B594" s="31" t="s">
        <v>370</v>
      </c>
      <c r="C594" s="31" t="str">
        <f t="shared" si="9"/>
        <v>PATELAS Tom</v>
      </c>
      <c r="D594" s="31" t="s">
        <v>242</v>
      </c>
      <c r="E594" s="31" t="s">
        <v>297</v>
      </c>
    </row>
    <row r="595" spans="1:5">
      <c r="A595" s="31" t="s">
        <v>1314</v>
      </c>
      <c r="B595" s="31" t="s">
        <v>1315</v>
      </c>
      <c r="C595" s="31" t="str">
        <f t="shared" si="9"/>
        <v>PATHTHINATHAN Johnfildan</v>
      </c>
      <c r="D595" s="31" t="s">
        <v>242</v>
      </c>
      <c r="E595" s="31" t="s">
        <v>418</v>
      </c>
    </row>
    <row r="596" spans="1:5">
      <c r="A596" s="31" t="s">
        <v>1316</v>
      </c>
      <c r="B596" s="31" t="s">
        <v>849</v>
      </c>
      <c r="C596" s="31" t="str">
        <f t="shared" si="9"/>
        <v>PATOUT Maxime</v>
      </c>
      <c r="D596" s="31" t="s">
        <v>242</v>
      </c>
      <c r="E596" s="31" t="s">
        <v>446</v>
      </c>
    </row>
    <row r="597" spans="1:5">
      <c r="A597" s="31" t="s">
        <v>1317</v>
      </c>
      <c r="B597" s="31" t="s">
        <v>1318</v>
      </c>
      <c r="C597" s="31" t="str">
        <f t="shared" si="9"/>
        <v>PAVILLA Leïla</v>
      </c>
      <c r="D597" s="31" t="s">
        <v>242</v>
      </c>
      <c r="E597" s="31" t="s">
        <v>332</v>
      </c>
    </row>
    <row r="598" spans="1:5">
      <c r="A598" s="31" t="s">
        <v>1319</v>
      </c>
      <c r="B598" s="31" t="s">
        <v>1320</v>
      </c>
      <c r="C598" s="31" t="str">
        <f t="shared" si="9"/>
        <v>PENNARUN Justine</v>
      </c>
      <c r="D598" s="31" t="s">
        <v>242</v>
      </c>
      <c r="E598" s="31" t="s">
        <v>261</v>
      </c>
    </row>
    <row r="599" spans="1:5">
      <c r="A599" s="31" t="s">
        <v>1321</v>
      </c>
      <c r="B599" s="31" t="s">
        <v>1322</v>
      </c>
      <c r="C599" s="31" t="str">
        <f t="shared" si="9"/>
        <v>PEREIRA Coralie</v>
      </c>
      <c r="D599" s="31" t="s">
        <v>242</v>
      </c>
      <c r="E599" s="31" t="s">
        <v>371</v>
      </c>
    </row>
    <row r="600" spans="1:5">
      <c r="A600" s="31" t="s">
        <v>1323</v>
      </c>
      <c r="B600" s="31" t="s">
        <v>285</v>
      </c>
      <c r="C600" s="31" t="str">
        <f t="shared" si="9"/>
        <v>PEREIRA DE PINHO Thomas</v>
      </c>
      <c r="D600" s="31" t="s">
        <v>242</v>
      </c>
      <c r="E600" s="31" t="s">
        <v>395</v>
      </c>
    </row>
    <row r="601" spans="1:5">
      <c r="A601" s="31" t="s">
        <v>1324</v>
      </c>
      <c r="B601" s="31" t="s">
        <v>279</v>
      </c>
      <c r="C601" s="31" t="str">
        <f t="shared" si="9"/>
        <v>PERRIN Alexandre</v>
      </c>
      <c r="D601" s="31" t="s">
        <v>242</v>
      </c>
      <c r="E601" s="31" t="s">
        <v>360</v>
      </c>
    </row>
    <row r="602" spans="1:5">
      <c r="A602" s="31" t="s">
        <v>1325</v>
      </c>
      <c r="B602" s="31" t="s">
        <v>1326</v>
      </c>
      <c r="C602" s="31" t="str">
        <f t="shared" si="9"/>
        <v>PERTEL Marie</v>
      </c>
      <c r="D602" s="31" t="s">
        <v>242</v>
      </c>
      <c r="E602" s="31" t="s">
        <v>446</v>
      </c>
    </row>
    <row r="603" spans="1:5">
      <c r="A603" s="31" t="s">
        <v>1327</v>
      </c>
      <c r="B603" s="31" t="s">
        <v>1328</v>
      </c>
      <c r="C603" s="31" t="str">
        <f t="shared" si="9"/>
        <v>PEZZUTO Matheo</v>
      </c>
      <c r="D603" s="31" t="s">
        <v>242</v>
      </c>
      <c r="E603" s="31" t="s">
        <v>412</v>
      </c>
    </row>
    <row r="604" spans="1:5">
      <c r="A604" s="31" t="s">
        <v>1329</v>
      </c>
      <c r="B604" s="31" t="s">
        <v>285</v>
      </c>
      <c r="C604" s="31" t="str">
        <f t="shared" si="9"/>
        <v>PIGNARD Thomas</v>
      </c>
      <c r="D604" s="31" t="s">
        <v>242</v>
      </c>
      <c r="E604" s="31" t="s">
        <v>406</v>
      </c>
    </row>
    <row r="605" spans="1:5">
      <c r="A605" s="31" t="s">
        <v>1330</v>
      </c>
      <c r="B605" s="31" t="s">
        <v>1331</v>
      </c>
      <c r="C605" s="31" t="str">
        <f t="shared" si="9"/>
        <v>PILLIAUDIN Barnabé</v>
      </c>
      <c r="D605" s="31" t="s">
        <v>242</v>
      </c>
      <c r="E605" s="31" t="s">
        <v>348</v>
      </c>
    </row>
    <row r="606" spans="1:5">
      <c r="A606" s="31" t="s">
        <v>1332</v>
      </c>
      <c r="B606" s="31" t="s">
        <v>1333</v>
      </c>
      <c r="C606" s="31" t="str">
        <f t="shared" si="9"/>
        <v>PITENTII Vladislav</v>
      </c>
      <c r="D606" s="31" t="s">
        <v>242</v>
      </c>
      <c r="E606" s="31" t="s">
        <v>243</v>
      </c>
    </row>
    <row r="607" spans="1:5">
      <c r="A607" s="31" t="s">
        <v>1334</v>
      </c>
      <c r="B607" s="31" t="s">
        <v>1335</v>
      </c>
      <c r="C607" s="31" t="str">
        <f t="shared" si="9"/>
        <v>POITOUT Kevan</v>
      </c>
      <c r="D607" s="31" t="s">
        <v>242</v>
      </c>
      <c r="E607" s="31" t="s">
        <v>283</v>
      </c>
    </row>
    <row r="608" spans="1:5">
      <c r="A608" s="31" t="s">
        <v>1336</v>
      </c>
      <c r="B608" s="31" t="s">
        <v>1337</v>
      </c>
      <c r="C608" s="31" t="str">
        <f t="shared" si="9"/>
        <v>PREVOST Lilian</v>
      </c>
      <c r="D608" s="31" t="s">
        <v>242</v>
      </c>
      <c r="E608" s="31" t="s">
        <v>443</v>
      </c>
    </row>
    <row r="609" spans="1:5">
      <c r="A609" s="31" t="s">
        <v>1338</v>
      </c>
      <c r="B609" s="31" t="s">
        <v>522</v>
      </c>
      <c r="C609" s="31" t="str">
        <f t="shared" si="9"/>
        <v>PRIGENT Corentin</v>
      </c>
      <c r="D609" s="31" t="s">
        <v>242</v>
      </c>
      <c r="E609" s="31" t="s">
        <v>2</v>
      </c>
    </row>
    <row r="610" spans="1:5">
      <c r="A610" s="31" t="s">
        <v>361</v>
      </c>
      <c r="B610" s="31" t="s">
        <v>362</v>
      </c>
      <c r="C610" s="31" t="str">
        <f t="shared" si="9"/>
        <v>PRZYLUSKI Loïc</v>
      </c>
      <c r="D610" s="31" t="s">
        <v>242</v>
      </c>
      <c r="E610" s="31" t="s">
        <v>247</v>
      </c>
    </row>
    <row r="611" spans="1:5">
      <c r="A611" s="31" t="s">
        <v>1339</v>
      </c>
      <c r="B611" s="31" t="s">
        <v>1276</v>
      </c>
      <c r="C611" s="31" t="str">
        <f t="shared" si="9"/>
        <v>QUENUM James</v>
      </c>
      <c r="D611" s="31" t="s">
        <v>242</v>
      </c>
      <c r="E611" s="31" t="s">
        <v>250</v>
      </c>
    </row>
    <row r="612" spans="1:5">
      <c r="A612" s="31" t="s">
        <v>1340</v>
      </c>
      <c r="B612" s="31" t="s">
        <v>285</v>
      </c>
      <c r="C612" s="31" t="str">
        <f t="shared" si="9"/>
        <v>QUETER Thomas</v>
      </c>
      <c r="D612" s="31" t="s">
        <v>242</v>
      </c>
      <c r="E612" s="31" t="s">
        <v>406</v>
      </c>
    </row>
    <row r="613" spans="1:5">
      <c r="A613" s="31" t="s">
        <v>1341</v>
      </c>
      <c r="B613" s="31" t="s">
        <v>629</v>
      </c>
      <c r="C613" s="31" t="str">
        <f t="shared" si="9"/>
        <v>RACHEDI Yanis</v>
      </c>
      <c r="D613" s="31" t="s">
        <v>242</v>
      </c>
      <c r="E613" s="31" t="s">
        <v>377</v>
      </c>
    </row>
    <row r="614" spans="1:5">
      <c r="A614" s="31" t="s">
        <v>1342</v>
      </c>
      <c r="B614" s="31" t="s">
        <v>1343</v>
      </c>
      <c r="C614" s="31" t="str">
        <f t="shared" si="9"/>
        <v>RAFIRINGA Evoeke</v>
      </c>
      <c r="D614" s="31" t="s">
        <v>242</v>
      </c>
      <c r="E614" s="31" t="s">
        <v>338</v>
      </c>
    </row>
    <row r="615" spans="1:5">
      <c r="A615" s="31" t="s">
        <v>1344</v>
      </c>
      <c r="B615" s="31" t="s">
        <v>1345</v>
      </c>
      <c r="C615" s="31" t="str">
        <f t="shared" si="9"/>
        <v>RAHAL Isshak</v>
      </c>
      <c r="D615" s="31" t="s">
        <v>242</v>
      </c>
      <c r="E615" s="31" t="s">
        <v>389</v>
      </c>
    </row>
    <row r="616" spans="1:5">
      <c r="A616" s="31" t="s">
        <v>1346</v>
      </c>
      <c r="B616" s="31" t="s">
        <v>740</v>
      </c>
      <c r="C616" s="31" t="str">
        <f t="shared" si="9"/>
        <v>RAHIMALLY Walid</v>
      </c>
      <c r="D616" s="31" t="s">
        <v>242</v>
      </c>
      <c r="E616" s="31" t="s">
        <v>451</v>
      </c>
    </row>
    <row r="617" spans="1:5">
      <c r="A617" s="31" t="s">
        <v>366</v>
      </c>
      <c r="B617" s="31" t="s">
        <v>367</v>
      </c>
      <c r="C617" s="31" t="str">
        <f t="shared" si="9"/>
        <v>RAJAONARIVELO Andriarilala Tina</v>
      </c>
      <c r="D617" s="31" t="s">
        <v>242</v>
      </c>
      <c r="E617" s="31" t="s">
        <v>247</v>
      </c>
    </row>
    <row r="618" spans="1:5">
      <c r="A618" s="31" t="s">
        <v>1347</v>
      </c>
      <c r="B618" s="31" t="s">
        <v>1348</v>
      </c>
      <c r="C618" s="31" t="str">
        <f t="shared" si="9"/>
        <v>RAKOTOARISOA Ashley</v>
      </c>
      <c r="D618" s="31" t="s">
        <v>242</v>
      </c>
      <c r="E618" s="31" t="s">
        <v>332</v>
      </c>
    </row>
    <row r="619" spans="1:5">
      <c r="A619" s="31" t="s">
        <v>1349</v>
      </c>
      <c r="B619" s="31" t="s">
        <v>1350</v>
      </c>
      <c r="C619" s="31" t="str">
        <f t="shared" si="9"/>
        <v>RAMA DOSS Denesh</v>
      </c>
      <c r="D619" s="31" t="s">
        <v>242</v>
      </c>
      <c r="E619" s="31" t="s">
        <v>360</v>
      </c>
    </row>
    <row r="620" spans="1:5">
      <c r="A620" s="31" t="s">
        <v>1351</v>
      </c>
      <c r="B620" s="31" t="s">
        <v>852</v>
      </c>
      <c r="C620" s="31" t="str">
        <f t="shared" si="9"/>
        <v>RAOUL Vincent</v>
      </c>
      <c r="D620" s="31" t="s">
        <v>242</v>
      </c>
      <c r="E620" s="31" t="s">
        <v>371</v>
      </c>
    </row>
    <row r="621" spans="1:5">
      <c r="A621" s="31" t="s">
        <v>1352</v>
      </c>
      <c r="B621" s="31" t="s">
        <v>279</v>
      </c>
      <c r="C621" s="31" t="str">
        <f t="shared" si="9"/>
        <v>RAYNAUD Alexandre</v>
      </c>
      <c r="D621" s="31" t="s">
        <v>242</v>
      </c>
      <c r="E621" s="31" t="s">
        <v>371</v>
      </c>
    </row>
    <row r="622" spans="1:5">
      <c r="A622" s="31" t="s">
        <v>1353</v>
      </c>
      <c r="B622" s="31" t="s">
        <v>1354</v>
      </c>
      <c r="C622" s="31" t="str">
        <f t="shared" si="9"/>
        <v>RAZAFINDRABE Harimanitra</v>
      </c>
      <c r="D622" s="31" t="s">
        <v>242</v>
      </c>
      <c r="E622" s="31" t="s">
        <v>256</v>
      </c>
    </row>
    <row r="623" spans="1:5">
      <c r="A623" s="31" t="s">
        <v>1355</v>
      </c>
      <c r="B623" s="31" t="s">
        <v>1356</v>
      </c>
      <c r="C623" s="31" t="str">
        <f t="shared" si="9"/>
        <v>REKAYA Feres</v>
      </c>
      <c r="D623" s="31" t="s">
        <v>242</v>
      </c>
      <c r="E623" s="31" t="s">
        <v>443</v>
      </c>
    </row>
    <row r="624" spans="1:5">
      <c r="A624" s="31" t="s">
        <v>1357</v>
      </c>
      <c r="B624" s="31" t="s">
        <v>1216</v>
      </c>
      <c r="C624" s="31" t="str">
        <f t="shared" si="9"/>
        <v>RENARD Tristan</v>
      </c>
      <c r="D624" s="31" t="s">
        <v>242</v>
      </c>
      <c r="E624" s="31" t="s">
        <v>371</v>
      </c>
    </row>
    <row r="625" spans="1:5">
      <c r="A625" s="31" t="s">
        <v>1357</v>
      </c>
      <c r="B625" s="31" t="s">
        <v>522</v>
      </c>
      <c r="C625" s="31" t="str">
        <f t="shared" si="9"/>
        <v>RENARD Corentin</v>
      </c>
      <c r="D625" s="31" t="s">
        <v>242</v>
      </c>
      <c r="E625" s="31" t="s">
        <v>277</v>
      </c>
    </row>
    <row r="626" spans="1:5">
      <c r="A626" s="31" t="s">
        <v>1358</v>
      </c>
      <c r="B626" s="31" t="s">
        <v>429</v>
      </c>
      <c r="C626" s="31" t="str">
        <f t="shared" si="9"/>
        <v>RENAUDIN Mathis</v>
      </c>
      <c r="D626" s="31" t="s">
        <v>242</v>
      </c>
      <c r="E626" s="31" t="s">
        <v>371</v>
      </c>
    </row>
    <row r="627" spans="1:5">
      <c r="A627" s="31" t="s">
        <v>1359</v>
      </c>
      <c r="B627" s="31" t="s">
        <v>1360</v>
      </c>
      <c r="C627" s="31" t="str">
        <f t="shared" si="9"/>
        <v>RESETNIC Gheorghe</v>
      </c>
      <c r="D627" s="31" t="s">
        <v>242</v>
      </c>
      <c r="E627" s="31" t="s">
        <v>360</v>
      </c>
    </row>
    <row r="628" spans="1:5">
      <c r="A628" s="31" t="s">
        <v>1361</v>
      </c>
      <c r="B628" s="31" t="s">
        <v>1362</v>
      </c>
      <c r="C628" s="31" t="str">
        <f t="shared" si="9"/>
        <v>RESTHERU LIYANARALALAGE COORAYRA Ehan</v>
      </c>
      <c r="D628" s="31" t="s">
        <v>242</v>
      </c>
      <c r="E628" s="31" t="s">
        <v>360</v>
      </c>
    </row>
    <row r="629" spans="1:5">
      <c r="A629" s="31" t="s">
        <v>1363</v>
      </c>
      <c r="B629" s="31" t="s">
        <v>858</v>
      </c>
      <c r="C629" s="31" t="str">
        <f t="shared" si="9"/>
        <v>REULET Valentin</v>
      </c>
      <c r="D629" s="31" t="s">
        <v>242</v>
      </c>
      <c r="E629" s="31" t="s">
        <v>360</v>
      </c>
    </row>
    <row r="630" spans="1:5">
      <c r="A630" s="31" t="s">
        <v>1364</v>
      </c>
      <c r="B630" s="31" t="s">
        <v>645</v>
      </c>
      <c r="C630" s="31" t="str">
        <f t="shared" si="9"/>
        <v>RHERBAOUI Mohammed</v>
      </c>
      <c r="D630" s="31" t="s">
        <v>242</v>
      </c>
      <c r="E630" s="31" t="s">
        <v>395</v>
      </c>
    </row>
    <row r="631" spans="1:5">
      <c r="A631" s="31" t="s">
        <v>1365</v>
      </c>
      <c r="B631" s="31" t="s">
        <v>880</v>
      </c>
      <c r="C631" s="31" t="str">
        <f t="shared" si="9"/>
        <v>RIBEIRO Jules</v>
      </c>
      <c r="D631" s="31" t="s">
        <v>242</v>
      </c>
      <c r="E631" s="31" t="s">
        <v>338</v>
      </c>
    </row>
    <row r="632" spans="1:5">
      <c r="A632" s="31" t="s">
        <v>1366</v>
      </c>
      <c r="B632" s="31" t="s">
        <v>1367</v>
      </c>
      <c r="C632" s="31" t="str">
        <f t="shared" si="9"/>
        <v>RIBES Dragan</v>
      </c>
      <c r="D632" s="31" t="s">
        <v>242</v>
      </c>
      <c r="E632" s="31" t="s">
        <v>243</v>
      </c>
    </row>
    <row r="633" spans="1:5">
      <c r="A633" s="31" t="s">
        <v>1368</v>
      </c>
      <c r="B633" s="31" t="s">
        <v>1337</v>
      </c>
      <c r="C633" s="31" t="str">
        <f t="shared" si="9"/>
        <v>RIGAUD Lilian</v>
      </c>
      <c r="D633" s="31" t="s">
        <v>242</v>
      </c>
      <c r="E633" s="31" t="s">
        <v>308</v>
      </c>
    </row>
    <row r="634" spans="1:5">
      <c r="A634" s="31" t="s">
        <v>1369</v>
      </c>
      <c r="B634" s="31" t="s">
        <v>847</v>
      </c>
      <c r="C634" s="31" t="str">
        <f t="shared" si="9"/>
        <v>RIVIERE Julien</v>
      </c>
      <c r="D634" s="31" t="s">
        <v>242</v>
      </c>
      <c r="E634" s="31" t="s">
        <v>389</v>
      </c>
    </row>
    <row r="635" spans="1:5">
      <c r="A635" s="31" t="s">
        <v>1370</v>
      </c>
      <c r="B635" s="31" t="s">
        <v>1371</v>
      </c>
      <c r="C635" s="31" t="str">
        <f t="shared" si="9"/>
        <v>RJAFELLAH Elyess</v>
      </c>
      <c r="D635" s="31" t="s">
        <v>242</v>
      </c>
      <c r="E635" s="31" t="s">
        <v>454</v>
      </c>
    </row>
    <row r="636" spans="1:5">
      <c r="A636" s="31" t="s">
        <v>1372</v>
      </c>
      <c r="B636" s="31" t="s">
        <v>1373</v>
      </c>
      <c r="C636" s="31" t="str">
        <f t="shared" si="9"/>
        <v>RODIN Emile</v>
      </c>
      <c r="D636" s="31" t="s">
        <v>242</v>
      </c>
      <c r="E636" s="31" t="s">
        <v>418</v>
      </c>
    </row>
    <row r="637" spans="1:5">
      <c r="A637" s="31" t="s">
        <v>1374</v>
      </c>
      <c r="B637" s="31" t="s">
        <v>458</v>
      </c>
      <c r="C637" s="31" t="str">
        <f t="shared" si="9"/>
        <v>ROGUE Clément</v>
      </c>
      <c r="D637" s="31" t="s">
        <v>242</v>
      </c>
      <c r="E637" s="31" t="s">
        <v>454</v>
      </c>
    </row>
    <row r="638" spans="1:5">
      <c r="A638" s="31" t="s">
        <v>1375</v>
      </c>
      <c r="B638" s="31" t="s">
        <v>1210</v>
      </c>
      <c r="C638" s="31" t="str">
        <f t="shared" si="9"/>
        <v>ROSEE Matthieu</v>
      </c>
      <c r="D638" s="31" t="s">
        <v>242</v>
      </c>
      <c r="E638" s="31" t="s">
        <v>261</v>
      </c>
    </row>
    <row r="639" spans="1:5">
      <c r="A639" s="31" t="s">
        <v>1376</v>
      </c>
      <c r="B639" s="31" t="s">
        <v>1377</v>
      </c>
      <c r="C639" s="31" t="str">
        <f t="shared" si="9"/>
        <v>ROSSIGNOL Adelin</v>
      </c>
      <c r="D639" s="31" t="s">
        <v>242</v>
      </c>
      <c r="E639" s="31" t="s">
        <v>446</v>
      </c>
    </row>
    <row r="640" spans="1:5">
      <c r="A640" s="31" t="s">
        <v>1378</v>
      </c>
      <c r="B640" s="31" t="s">
        <v>1379</v>
      </c>
      <c r="C640" s="31" t="str">
        <f t="shared" si="9"/>
        <v>ROUSSEAU Léna</v>
      </c>
      <c r="D640" s="31" t="s">
        <v>242</v>
      </c>
      <c r="E640" s="31" t="s">
        <v>2</v>
      </c>
    </row>
    <row r="641" spans="1:5">
      <c r="A641" s="31" t="s">
        <v>1380</v>
      </c>
      <c r="B641" s="31" t="s">
        <v>1381</v>
      </c>
      <c r="C641" s="31" t="str">
        <f t="shared" si="9"/>
        <v>ROUYERE Clarisse</v>
      </c>
      <c r="D641" s="31" t="s">
        <v>242</v>
      </c>
      <c r="E641" s="31" t="s">
        <v>250</v>
      </c>
    </row>
    <row r="642" spans="1:5">
      <c r="A642" s="31" t="s">
        <v>1382</v>
      </c>
      <c r="B642" s="31" t="s">
        <v>1383</v>
      </c>
      <c r="C642" s="31" t="str">
        <f t="shared" si="9"/>
        <v>ROZANSKI Dawid</v>
      </c>
      <c r="D642" s="31" t="s">
        <v>242</v>
      </c>
      <c r="E642" s="31" t="s">
        <v>261</v>
      </c>
    </row>
    <row r="643" spans="1:5">
      <c r="A643" s="31" t="s">
        <v>1384</v>
      </c>
      <c r="B643" s="31" t="s">
        <v>1385</v>
      </c>
      <c r="C643" s="31" t="str">
        <f t="shared" ref="C643:C706" si="10">_xlfn.CONCAT(A643, " ",B643)</f>
        <v>RUBINSTEIN TAVARES Alba</v>
      </c>
      <c r="D643" s="31" t="s">
        <v>242</v>
      </c>
      <c r="E643" s="31" t="s">
        <v>412</v>
      </c>
    </row>
    <row r="644" spans="1:5">
      <c r="A644" s="31" t="s">
        <v>1386</v>
      </c>
      <c r="B644" s="31" t="s">
        <v>1387</v>
      </c>
      <c r="C644" s="31" t="str">
        <f t="shared" si="10"/>
        <v>RUIZ Cyprien</v>
      </c>
      <c r="D644" s="31" t="s">
        <v>242</v>
      </c>
      <c r="E644" s="31" t="s">
        <v>297</v>
      </c>
    </row>
    <row r="645" spans="1:5">
      <c r="A645" s="31" t="s">
        <v>1388</v>
      </c>
      <c r="B645" s="31" t="s">
        <v>1389</v>
      </c>
      <c r="C645" s="31" t="str">
        <f t="shared" si="10"/>
        <v>SAADAT Martin</v>
      </c>
      <c r="D645" s="31" t="s">
        <v>242</v>
      </c>
      <c r="E645" s="31" t="s">
        <v>277</v>
      </c>
    </row>
    <row r="646" spans="1:5">
      <c r="A646" s="31" t="s">
        <v>1390</v>
      </c>
      <c r="B646" s="31" t="s">
        <v>1391</v>
      </c>
      <c r="C646" s="31" t="str">
        <f t="shared" si="10"/>
        <v>SABIA Idriss</v>
      </c>
      <c r="D646" s="31" t="s">
        <v>242</v>
      </c>
      <c r="E646" s="31" t="s">
        <v>443</v>
      </c>
    </row>
    <row r="647" spans="1:5">
      <c r="A647" s="31" t="s">
        <v>1392</v>
      </c>
      <c r="B647" s="31" t="s">
        <v>1108</v>
      </c>
      <c r="C647" s="31" t="str">
        <f t="shared" si="10"/>
        <v>SABIN Marvin</v>
      </c>
      <c r="D647" s="31" t="s">
        <v>242</v>
      </c>
      <c r="E647" s="31" t="s">
        <v>332</v>
      </c>
    </row>
    <row r="648" spans="1:5">
      <c r="A648" s="31" t="s">
        <v>1393</v>
      </c>
      <c r="B648" s="31" t="s">
        <v>285</v>
      </c>
      <c r="C648" s="31" t="str">
        <f t="shared" si="10"/>
        <v>SADI Thomas</v>
      </c>
      <c r="D648" s="31" t="s">
        <v>242</v>
      </c>
      <c r="E648" s="31" t="s">
        <v>289</v>
      </c>
    </row>
    <row r="649" spans="1:5">
      <c r="A649" s="31" t="s">
        <v>1394</v>
      </c>
      <c r="B649" s="31" t="s">
        <v>1395</v>
      </c>
      <c r="C649" s="31" t="str">
        <f t="shared" si="10"/>
        <v>SADIK Rachid</v>
      </c>
      <c r="D649" s="31" t="s">
        <v>242</v>
      </c>
      <c r="E649" s="31" t="s">
        <v>406</v>
      </c>
    </row>
    <row r="650" spans="1:5">
      <c r="A650" s="31" t="s">
        <v>1396</v>
      </c>
      <c r="B650" s="31" t="s">
        <v>1397</v>
      </c>
      <c r="C650" s="31" t="str">
        <f t="shared" si="10"/>
        <v>SADOU Djallal</v>
      </c>
      <c r="D650" s="31" t="s">
        <v>242</v>
      </c>
      <c r="E650" s="31" t="s">
        <v>406</v>
      </c>
    </row>
    <row r="651" spans="1:5">
      <c r="A651" s="31" t="s">
        <v>1398</v>
      </c>
      <c r="B651" s="31" t="s">
        <v>1399</v>
      </c>
      <c r="C651" s="31" t="str">
        <f t="shared" si="10"/>
        <v>SAGHIR Aghiles</v>
      </c>
      <c r="D651" s="31" t="s">
        <v>242</v>
      </c>
      <c r="E651" s="31" t="s">
        <v>383</v>
      </c>
    </row>
    <row r="652" spans="1:5">
      <c r="A652" s="31" t="s">
        <v>1400</v>
      </c>
      <c r="B652" s="31" t="s">
        <v>1401</v>
      </c>
      <c r="C652" s="31" t="str">
        <f t="shared" si="10"/>
        <v>SAID Mustapha</v>
      </c>
      <c r="D652" s="31" t="s">
        <v>242</v>
      </c>
      <c r="E652" s="31" t="s">
        <v>243</v>
      </c>
    </row>
    <row r="653" spans="1:5">
      <c r="A653" s="31" t="s">
        <v>1402</v>
      </c>
      <c r="B653" s="31" t="s">
        <v>594</v>
      </c>
      <c r="C653" s="31" t="str">
        <f t="shared" si="10"/>
        <v>SAIGHI David</v>
      </c>
      <c r="D653" s="31" t="s">
        <v>242</v>
      </c>
      <c r="E653" s="31" t="s">
        <v>256</v>
      </c>
    </row>
    <row r="654" spans="1:5">
      <c r="A654" s="31" t="s">
        <v>1403</v>
      </c>
      <c r="B654" s="31" t="s">
        <v>1404</v>
      </c>
      <c r="C654" s="31" t="str">
        <f t="shared" si="10"/>
        <v>SALAGEAN Bogdan</v>
      </c>
      <c r="D654" s="31" t="s">
        <v>242</v>
      </c>
      <c r="E654" s="31" t="s">
        <v>277</v>
      </c>
    </row>
    <row r="655" spans="1:5">
      <c r="A655" s="31" t="s">
        <v>1405</v>
      </c>
      <c r="B655" s="31" t="s">
        <v>1406</v>
      </c>
      <c r="C655" s="31" t="str">
        <f t="shared" si="10"/>
        <v>SALVAN Grégory</v>
      </c>
      <c r="D655" s="31" t="s">
        <v>242</v>
      </c>
      <c r="E655" s="31" t="s">
        <v>2</v>
      </c>
    </row>
    <row r="656" spans="1:5">
      <c r="A656" s="31" t="s">
        <v>1407</v>
      </c>
      <c r="B656" s="31" t="s">
        <v>1408</v>
      </c>
      <c r="C656" s="31" t="str">
        <f t="shared" si="10"/>
        <v>SAOUD Ezzat</v>
      </c>
      <c r="D656" s="31" t="s">
        <v>242</v>
      </c>
      <c r="E656" s="31" t="s">
        <v>338</v>
      </c>
    </row>
    <row r="657" spans="1:5">
      <c r="A657" s="31" t="s">
        <v>1409</v>
      </c>
      <c r="B657" s="31" t="s">
        <v>1410</v>
      </c>
      <c r="C657" s="31" t="str">
        <f t="shared" si="10"/>
        <v>SARAVANAPAVANANTHAM Arultharan</v>
      </c>
      <c r="D657" s="31" t="s">
        <v>242</v>
      </c>
      <c r="E657" s="31" t="s">
        <v>2</v>
      </c>
    </row>
    <row r="658" spans="1:5">
      <c r="A658" s="31" t="s">
        <v>1411</v>
      </c>
      <c r="B658" s="31" t="s">
        <v>282</v>
      </c>
      <c r="C658" s="31" t="str">
        <f t="shared" si="10"/>
        <v>SAULNIER Lucas</v>
      </c>
      <c r="D658" s="31" t="s">
        <v>242</v>
      </c>
      <c r="E658" s="31" t="s">
        <v>451</v>
      </c>
    </row>
    <row r="659" spans="1:5">
      <c r="A659" s="31" t="s">
        <v>1412</v>
      </c>
      <c r="B659" s="31" t="s">
        <v>1413</v>
      </c>
      <c r="C659" s="31" t="str">
        <f t="shared" si="10"/>
        <v>SCHMITT Léa</v>
      </c>
      <c r="D659" s="31" t="s">
        <v>242</v>
      </c>
      <c r="E659" s="31" t="s">
        <v>371</v>
      </c>
    </row>
    <row r="660" spans="1:5">
      <c r="A660" s="31" t="s">
        <v>1414</v>
      </c>
      <c r="B660" s="31" t="s">
        <v>1415</v>
      </c>
      <c r="C660" s="31" t="str">
        <f t="shared" si="10"/>
        <v>SCHWITZGABEL Lara</v>
      </c>
      <c r="D660" s="31" t="s">
        <v>242</v>
      </c>
      <c r="E660" s="31" t="s">
        <v>277</v>
      </c>
    </row>
    <row r="661" spans="1:5">
      <c r="A661" s="31" t="s">
        <v>1416</v>
      </c>
      <c r="B661" s="31" t="s">
        <v>1417</v>
      </c>
      <c r="C661" s="31" t="str">
        <f t="shared" si="10"/>
        <v>SEBA CHARDENAL Sacha</v>
      </c>
      <c r="D661" s="31" t="s">
        <v>242</v>
      </c>
      <c r="E661" s="31" t="s">
        <v>283</v>
      </c>
    </row>
    <row r="662" spans="1:5">
      <c r="A662" s="31" t="s">
        <v>1418</v>
      </c>
      <c r="B662" s="31" t="s">
        <v>1401</v>
      </c>
      <c r="C662" s="31" t="str">
        <f t="shared" si="10"/>
        <v>SEGHDAU Mustapha</v>
      </c>
      <c r="D662" s="31" t="s">
        <v>242</v>
      </c>
      <c r="E662" s="31" t="s">
        <v>406</v>
      </c>
    </row>
    <row r="663" spans="1:5">
      <c r="A663" s="31" t="s">
        <v>1419</v>
      </c>
      <c r="B663" s="31" t="s">
        <v>629</v>
      </c>
      <c r="C663" s="31" t="str">
        <f t="shared" si="10"/>
        <v>SEKHRI Yanis</v>
      </c>
      <c r="D663" s="31" t="s">
        <v>242</v>
      </c>
      <c r="E663" s="31" t="s">
        <v>389</v>
      </c>
    </row>
    <row r="664" spans="1:5">
      <c r="A664" s="31" t="s">
        <v>1420</v>
      </c>
      <c r="B664" s="31" t="s">
        <v>1421</v>
      </c>
      <c r="C664" s="31" t="str">
        <f t="shared" si="10"/>
        <v>SEMEDO Elisa</v>
      </c>
      <c r="D664" s="31" t="s">
        <v>242</v>
      </c>
      <c r="E664" s="31" t="s">
        <v>371</v>
      </c>
    </row>
    <row r="665" spans="1:5">
      <c r="A665" s="31" t="s">
        <v>1422</v>
      </c>
      <c r="B665" s="31" t="s">
        <v>1423</v>
      </c>
      <c r="C665" s="31" t="str">
        <f t="shared" si="10"/>
        <v>SENE Thibault</v>
      </c>
      <c r="D665" s="31" t="s">
        <v>242</v>
      </c>
      <c r="E665" s="31" t="s">
        <v>243</v>
      </c>
    </row>
    <row r="666" spans="1:5">
      <c r="A666" s="31" t="s">
        <v>1424</v>
      </c>
      <c r="B666" s="31" t="s">
        <v>282</v>
      </c>
      <c r="C666" s="31" t="str">
        <f t="shared" si="10"/>
        <v>SENOVILLE Lucas</v>
      </c>
      <c r="D666" s="31" t="s">
        <v>242</v>
      </c>
      <c r="E666" s="31" t="s">
        <v>332</v>
      </c>
    </row>
    <row r="667" spans="1:5">
      <c r="A667" s="31" t="s">
        <v>1425</v>
      </c>
      <c r="B667" s="31" t="s">
        <v>1426</v>
      </c>
      <c r="C667" s="31" t="str">
        <f t="shared" si="10"/>
        <v>SETBON Menahem</v>
      </c>
      <c r="D667" s="31" t="s">
        <v>242</v>
      </c>
      <c r="E667" s="31" t="s">
        <v>446</v>
      </c>
    </row>
    <row r="668" spans="1:5">
      <c r="A668" s="31" t="s">
        <v>1427</v>
      </c>
      <c r="B668" s="31" t="s">
        <v>1428</v>
      </c>
      <c r="C668" s="31" t="str">
        <f t="shared" si="10"/>
        <v>SFAR Ilyes</v>
      </c>
      <c r="D668" s="31" t="s">
        <v>242</v>
      </c>
      <c r="E668" s="31" t="s">
        <v>308</v>
      </c>
    </row>
    <row r="669" spans="1:5">
      <c r="A669" s="31" t="s">
        <v>1429</v>
      </c>
      <c r="B669" s="31" t="s">
        <v>1430</v>
      </c>
      <c r="C669" s="31" t="str">
        <f t="shared" si="10"/>
        <v>SHAMRAIZ IQBAL Hasnat</v>
      </c>
      <c r="D669" s="31" t="s">
        <v>242</v>
      </c>
      <c r="E669" s="31" t="s">
        <v>308</v>
      </c>
    </row>
    <row r="670" spans="1:5">
      <c r="A670" s="31" t="s">
        <v>1431</v>
      </c>
      <c r="B670" s="31" t="s">
        <v>279</v>
      </c>
      <c r="C670" s="31" t="str">
        <f t="shared" si="10"/>
        <v>SIALE Alexandre</v>
      </c>
      <c r="D670" s="31" t="s">
        <v>242</v>
      </c>
      <c r="E670" s="31" t="s">
        <v>2</v>
      </c>
    </row>
    <row r="671" spans="1:5">
      <c r="A671" s="31" t="s">
        <v>1432</v>
      </c>
      <c r="B671" s="31" t="s">
        <v>1433</v>
      </c>
      <c r="C671" s="31" t="str">
        <f t="shared" si="10"/>
        <v>SIDIBE Abdoulaye</v>
      </c>
      <c r="D671" s="31" t="s">
        <v>242</v>
      </c>
      <c r="E671" s="31" t="s">
        <v>454</v>
      </c>
    </row>
    <row r="672" spans="1:5">
      <c r="A672" s="31" t="s">
        <v>1434</v>
      </c>
      <c r="B672" s="31" t="s">
        <v>331</v>
      </c>
      <c r="C672" s="31" t="str">
        <f t="shared" si="10"/>
        <v>SIF Mohamed</v>
      </c>
      <c r="D672" s="31" t="s">
        <v>242</v>
      </c>
      <c r="E672" s="31" t="s">
        <v>338</v>
      </c>
    </row>
    <row r="673" spans="1:5">
      <c r="A673" s="31" t="s">
        <v>1435</v>
      </c>
      <c r="B673" s="31" t="s">
        <v>1436</v>
      </c>
      <c r="C673" s="31" t="str">
        <f t="shared" si="10"/>
        <v>SILVA CAMPOS DIAS Moise</v>
      </c>
      <c r="D673" s="31" t="s">
        <v>242</v>
      </c>
      <c r="E673" s="31" t="s">
        <v>289</v>
      </c>
    </row>
    <row r="674" spans="1:5">
      <c r="A674" s="31" t="s">
        <v>1437</v>
      </c>
      <c r="B674" s="31" t="s">
        <v>1438</v>
      </c>
      <c r="C674" s="31" t="str">
        <f t="shared" si="10"/>
        <v>SIMOES ROCHA Nuno Ricardo</v>
      </c>
      <c r="D674" s="31" t="s">
        <v>242</v>
      </c>
      <c r="E674" s="31" t="s">
        <v>432</v>
      </c>
    </row>
    <row r="675" spans="1:5">
      <c r="A675" s="31" t="s">
        <v>1439</v>
      </c>
      <c r="B675" s="31" t="s">
        <v>1440</v>
      </c>
      <c r="C675" s="31" t="str">
        <f t="shared" si="10"/>
        <v>SIMSEK Lutfi</v>
      </c>
      <c r="D675" s="31" t="s">
        <v>242</v>
      </c>
      <c r="E675" s="31" t="s">
        <v>371</v>
      </c>
    </row>
    <row r="676" spans="1:5">
      <c r="A676" s="31" t="s">
        <v>1441</v>
      </c>
      <c r="B676" s="31" t="s">
        <v>1442</v>
      </c>
      <c r="C676" s="31" t="str">
        <f t="shared" si="10"/>
        <v>SIROT Angel</v>
      </c>
      <c r="D676" s="31" t="s">
        <v>242</v>
      </c>
      <c r="E676" s="31" t="s">
        <v>446</v>
      </c>
    </row>
    <row r="677" spans="1:5">
      <c r="A677" s="31" t="s">
        <v>1443</v>
      </c>
      <c r="B677" s="31" t="s">
        <v>1444</v>
      </c>
      <c r="C677" s="31" t="str">
        <f t="shared" si="10"/>
        <v>SIVAKARAN Steven</v>
      </c>
      <c r="D677" s="31" t="s">
        <v>242</v>
      </c>
      <c r="E677" s="31" t="s">
        <v>383</v>
      </c>
    </row>
    <row r="678" spans="1:5">
      <c r="A678" s="31" t="s">
        <v>1445</v>
      </c>
      <c r="B678" s="31" t="s">
        <v>1446</v>
      </c>
      <c r="C678" s="31" t="str">
        <f t="shared" si="10"/>
        <v>SIVANESAN Vanagan</v>
      </c>
      <c r="D678" s="31" t="s">
        <v>242</v>
      </c>
      <c r="E678" s="31" t="s">
        <v>308</v>
      </c>
    </row>
    <row r="679" spans="1:5">
      <c r="A679" s="31" t="s">
        <v>1447</v>
      </c>
      <c r="B679" s="31" t="s">
        <v>1448</v>
      </c>
      <c r="C679" s="31" t="str">
        <f t="shared" si="10"/>
        <v>SLAMA Johlan</v>
      </c>
      <c r="D679" s="31" t="s">
        <v>242</v>
      </c>
      <c r="E679" s="31" t="s">
        <v>348</v>
      </c>
    </row>
    <row r="680" spans="1:5">
      <c r="A680" s="31" t="s">
        <v>1449</v>
      </c>
      <c r="B680" s="31" t="s">
        <v>1450</v>
      </c>
      <c r="C680" s="31" t="str">
        <f t="shared" si="10"/>
        <v>SMAIL Hicham</v>
      </c>
      <c r="D680" s="31" t="s">
        <v>242</v>
      </c>
      <c r="E680" s="31" t="s">
        <v>348</v>
      </c>
    </row>
    <row r="681" spans="1:5">
      <c r="A681" s="31" t="s">
        <v>1451</v>
      </c>
      <c r="B681" s="31" t="s">
        <v>1452</v>
      </c>
      <c r="C681" s="31" t="str">
        <f t="shared" si="10"/>
        <v>SMAOUN Réda</v>
      </c>
      <c r="D681" s="31" t="s">
        <v>242</v>
      </c>
      <c r="E681" s="31" t="s">
        <v>256</v>
      </c>
    </row>
    <row r="682" spans="1:5">
      <c r="A682" s="31" t="s">
        <v>1453</v>
      </c>
      <c r="B682" s="31" t="s">
        <v>1454</v>
      </c>
      <c r="C682" s="31" t="str">
        <f t="shared" si="10"/>
        <v>SORIN Benoit</v>
      </c>
      <c r="D682" s="31" t="s">
        <v>242</v>
      </c>
      <c r="E682" s="31" t="s">
        <v>354</v>
      </c>
    </row>
    <row r="683" spans="1:5">
      <c r="A683" s="31" t="s">
        <v>1455</v>
      </c>
      <c r="B683" s="31" t="s">
        <v>494</v>
      </c>
      <c r="C683" s="31" t="str">
        <f t="shared" si="10"/>
        <v>SOUCI Mehdi</v>
      </c>
      <c r="D683" s="31" t="s">
        <v>242</v>
      </c>
      <c r="E683" s="31" t="s">
        <v>250</v>
      </c>
    </row>
    <row r="684" spans="1:5">
      <c r="A684" s="31" t="s">
        <v>1456</v>
      </c>
      <c r="B684" s="31" t="s">
        <v>1457</v>
      </c>
      <c r="C684" s="31" t="str">
        <f t="shared" si="10"/>
        <v>SOULINTHAVONG Yann</v>
      </c>
      <c r="D684" s="31" t="s">
        <v>242</v>
      </c>
      <c r="E684" s="31" t="s">
        <v>277</v>
      </c>
    </row>
    <row r="685" spans="1:5">
      <c r="A685" s="31" t="s">
        <v>1458</v>
      </c>
      <c r="B685" s="31" t="s">
        <v>1459</v>
      </c>
      <c r="C685" s="31" t="str">
        <f t="shared" si="10"/>
        <v>SOUSA ORTEGA Pedro</v>
      </c>
      <c r="D685" s="31" t="s">
        <v>242</v>
      </c>
      <c r="E685" s="31" t="s">
        <v>446</v>
      </c>
    </row>
    <row r="686" spans="1:5">
      <c r="A686" s="31" t="s">
        <v>1460</v>
      </c>
      <c r="B686" s="31" t="s">
        <v>1461</v>
      </c>
      <c r="C686" s="31" t="str">
        <f t="shared" si="10"/>
        <v>SPASIC Veljko</v>
      </c>
      <c r="D686" s="31" t="s">
        <v>242</v>
      </c>
      <c r="E686" s="31" t="s">
        <v>243</v>
      </c>
    </row>
    <row r="687" spans="1:5">
      <c r="A687" s="31" t="s">
        <v>1462</v>
      </c>
      <c r="B687" s="31" t="s">
        <v>291</v>
      </c>
      <c r="C687" s="31" t="str">
        <f t="shared" si="10"/>
        <v>SROUSSI Nathan</v>
      </c>
      <c r="D687" s="31" t="s">
        <v>242</v>
      </c>
      <c r="E687" s="31" t="s">
        <v>432</v>
      </c>
    </row>
    <row r="688" spans="1:5">
      <c r="A688" s="31" t="s">
        <v>1463</v>
      </c>
      <c r="B688" s="31" t="s">
        <v>1464</v>
      </c>
      <c r="C688" s="31" t="str">
        <f t="shared" si="10"/>
        <v>STEINMANN Joffrey</v>
      </c>
      <c r="D688" s="31" t="s">
        <v>242</v>
      </c>
      <c r="E688" s="31" t="s">
        <v>432</v>
      </c>
    </row>
    <row r="689" spans="1:5">
      <c r="A689" s="31" t="s">
        <v>1465</v>
      </c>
      <c r="B689" s="31" t="s">
        <v>1466</v>
      </c>
      <c r="C689" s="31" t="str">
        <f t="shared" si="10"/>
        <v>SUON Rahman</v>
      </c>
      <c r="D689" s="31" t="s">
        <v>242</v>
      </c>
      <c r="E689" s="31" t="s">
        <v>432</v>
      </c>
    </row>
    <row r="690" spans="1:5">
      <c r="A690" s="31" t="s">
        <v>372</v>
      </c>
      <c r="B690" s="31" t="s">
        <v>373</v>
      </c>
      <c r="C690" s="31" t="str">
        <f t="shared" si="10"/>
        <v>SUPPIAH Kaavya</v>
      </c>
      <c r="D690" s="31" t="s">
        <v>242</v>
      </c>
      <c r="E690" s="31" t="s">
        <v>247</v>
      </c>
    </row>
    <row r="691" spans="1:5">
      <c r="A691" s="31" t="s">
        <v>1467</v>
      </c>
      <c r="B691" s="31" t="s">
        <v>1468</v>
      </c>
      <c r="C691" s="31" t="str">
        <f t="shared" si="10"/>
        <v>SUTHAHER Hemadhuran</v>
      </c>
      <c r="D691" s="31" t="s">
        <v>242</v>
      </c>
      <c r="E691" s="31" t="s">
        <v>395</v>
      </c>
    </row>
    <row r="692" spans="1:5">
      <c r="A692" s="31" t="s">
        <v>1469</v>
      </c>
      <c r="B692" s="31" t="s">
        <v>986</v>
      </c>
      <c r="C692" s="31" t="str">
        <f t="shared" si="10"/>
        <v>SYLLA Aboubakar</v>
      </c>
      <c r="D692" s="31" t="s">
        <v>242</v>
      </c>
      <c r="E692" s="31" t="s">
        <v>536</v>
      </c>
    </row>
    <row r="693" spans="1:5">
      <c r="A693" s="31" t="s">
        <v>1470</v>
      </c>
      <c r="B693" s="31" t="s">
        <v>557</v>
      </c>
      <c r="C693" s="31" t="str">
        <f t="shared" si="10"/>
        <v>TABET Amine</v>
      </c>
      <c r="D693" s="31" t="s">
        <v>242</v>
      </c>
      <c r="E693" s="31" t="s">
        <v>406</v>
      </c>
    </row>
    <row r="694" spans="1:5">
      <c r="A694" s="31" t="s">
        <v>1471</v>
      </c>
      <c r="B694" s="31" t="s">
        <v>1472</v>
      </c>
      <c r="C694" s="31" t="str">
        <f t="shared" si="10"/>
        <v>TALEB Nora</v>
      </c>
      <c r="D694" s="31" t="s">
        <v>242</v>
      </c>
      <c r="E694" s="31" t="s">
        <v>406</v>
      </c>
    </row>
    <row r="695" spans="1:5">
      <c r="A695" s="31" t="s">
        <v>1473</v>
      </c>
      <c r="B695" s="31" t="s">
        <v>1474</v>
      </c>
      <c r="C695" s="31" t="str">
        <f t="shared" si="10"/>
        <v>TALSA TCHOUBIA Joëlle</v>
      </c>
      <c r="D695" s="31" t="s">
        <v>242</v>
      </c>
      <c r="E695" s="31" t="s">
        <v>406</v>
      </c>
    </row>
    <row r="696" spans="1:5">
      <c r="A696" s="31" t="s">
        <v>1475</v>
      </c>
      <c r="B696" s="31" t="s">
        <v>1476</v>
      </c>
      <c r="C696" s="31" t="str">
        <f t="shared" si="10"/>
        <v>TAMBADOU Tidiane</v>
      </c>
      <c r="D696" s="31" t="s">
        <v>242</v>
      </c>
      <c r="E696" s="31" t="s">
        <v>348</v>
      </c>
    </row>
    <row r="697" spans="1:5">
      <c r="A697" s="31" t="s">
        <v>1477</v>
      </c>
      <c r="B697" s="31" t="s">
        <v>951</v>
      </c>
      <c r="C697" s="31" t="str">
        <f t="shared" si="10"/>
        <v>TAMGLIT Rayan</v>
      </c>
      <c r="D697" s="31" t="s">
        <v>242</v>
      </c>
      <c r="E697" s="31" t="s">
        <v>256</v>
      </c>
    </row>
    <row r="698" spans="1:5">
      <c r="A698" s="31" t="s">
        <v>1478</v>
      </c>
      <c r="B698" s="31" t="s">
        <v>1479</v>
      </c>
      <c r="C698" s="31" t="str">
        <f t="shared" si="10"/>
        <v>TAMISIER Carlos</v>
      </c>
      <c r="D698" s="31" t="s">
        <v>242</v>
      </c>
      <c r="E698" s="31" t="s">
        <v>308</v>
      </c>
    </row>
    <row r="699" spans="1:5">
      <c r="A699" s="31" t="s">
        <v>1480</v>
      </c>
      <c r="B699" s="31" t="s">
        <v>1481</v>
      </c>
      <c r="C699" s="31" t="str">
        <f t="shared" si="10"/>
        <v>TCHATAT Guy</v>
      </c>
      <c r="D699" s="31" t="s">
        <v>242</v>
      </c>
      <c r="E699" s="31" t="s">
        <v>446</v>
      </c>
    </row>
    <row r="700" spans="1:5">
      <c r="A700" s="31" t="s">
        <v>1482</v>
      </c>
      <c r="B700" s="31" t="s">
        <v>1483</v>
      </c>
      <c r="C700" s="31" t="str">
        <f t="shared" si="10"/>
        <v>TCHATCHOUANG Emmanuel</v>
      </c>
      <c r="D700" s="31" t="s">
        <v>242</v>
      </c>
      <c r="E700" s="31" t="s">
        <v>250</v>
      </c>
    </row>
    <row r="701" spans="1:5">
      <c r="A701" s="31" t="s">
        <v>1484</v>
      </c>
      <c r="B701" s="31" t="s">
        <v>1485</v>
      </c>
      <c r="C701" s="31" t="str">
        <f t="shared" si="10"/>
        <v>TCHEBOUN Malik</v>
      </c>
      <c r="D701" s="31" t="s">
        <v>242</v>
      </c>
      <c r="E701" s="31" t="s">
        <v>243</v>
      </c>
    </row>
    <row r="702" spans="1:5">
      <c r="A702" s="31" t="s">
        <v>1486</v>
      </c>
      <c r="B702" s="31" t="s">
        <v>629</v>
      </c>
      <c r="C702" s="31" t="str">
        <f t="shared" si="10"/>
        <v>TEBBAKHA Yanis</v>
      </c>
      <c r="D702" s="31" t="s">
        <v>242</v>
      </c>
      <c r="E702" s="31" t="s">
        <v>406</v>
      </c>
    </row>
    <row r="703" spans="1:5">
      <c r="A703" s="31" t="s">
        <v>1487</v>
      </c>
      <c r="B703" s="31" t="s">
        <v>1488</v>
      </c>
      <c r="C703" s="31" t="str">
        <f t="shared" si="10"/>
        <v>TEKAYA Nouman</v>
      </c>
      <c r="D703" s="31" t="s">
        <v>242</v>
      </c>
      <c r="E703" s="31" t="s">
        <v>418</v>
      </c>
    </row>
    <row r="704" spans="1:5">
      <c r="A704" s="31" t="s">
        <v>1489</v>
      </c>
      <c r="B704" s="31" t="s">
        <v>1490</v>
      </c>
      <c r="C704" s="31" t="str">
        <f t="shared" si="10"/>
        <v>THAN Mai</v>
      </c>
      <c r="D704" s="31" t="s">
        <v>242</v>
      </c>
      <c r="E704" s="31" t="s">
        <v>495</v>
      </c>
    </row>
    <row r="705" spans="1:5">
      <c r="A705" s="31" t="s">
        <v>1491</v>
      </c>
      <c r="B705" s="31" t="s">
        <v>768</v>
      </c>
      <c r="C705" s="31" t="str">
        <f t="shared" si="10"/>
        <v>THIERY--DEMANGEON Allan</v>
      </c>
      <c r="D705" s="31" t="s">
        <v>242</v>
      </c>
      <c r="E705" s="31" t="s">
        <v>338</v>
      </c>
    </row>
    <row r="706" spans="1:5">
      <c r="A706" s="31" t="s">
        <v>1492</v>
      </c>
      <c r="B706" s="31" t="s">
        <v>1493</v>
      </c>
      <c r="C706" s="31" t="str">
        <f t="shared" si="10"/>
        <v>THIOUNE Seydina</v>
      </c>
      <c r="D706" s="31" t="s">
        <v>242</v>
      </c>
      <c r="E706" s="31" t="s">
        <v>250</v>
      </c>
    </row>
    <row r="707" spans="1:5">
      <c r="A707" s="31" t="s">
        <v>1494</v>
      </c>
      <c r="B707" s="31" t="s">
        <v>1495</v>
      </c>
      <c r="C707" s="31" t="str">
        <f t="shared" ref="C707:C765" si="11">_xlfn.CONCAT(A707, " ",B707)</f>
        <v>THOMAS Loril</v>
      </c>
      <c r="D707" s="31" t="s">
        <v>242</v>
      </c>
      <c r="E707" s="31" t="s">
        <v>250</v>
      </c>
    </row>
    <row r="708" spans="1:5">
      <c r="A708" s="31" t="s">
        <v>1496</v>
      </c>
      <c r="B708" s="31" t="s">
        <v>1497</v>
      </c>
      <c r="C708" s="31" t="str">
        <f t="shared" si="11"/>
        <v>THOMAZO Yohanan</v>
      </c>
      <c r="D708" s="31" t="s">
        <v>242</v>
      </c>
      <c r="E708" s="31" t="s">
        <v>360</v>
      </c>
    </row>
    <row r="709" spans="1:5">
      <c r="A709" s="31" t="s">
        <v>1498</v>
      </c>
      <c r="B709" s="31" t="s">
        <v>1499</v>
      </c>
      <c r="C709" s="31" t="str">
        <f t="shared" si="11"/>
        <v>TIDAS Kenjy</v>
      </c>
      <c r="D709" s="31" t="s">
        <v>242</v>
      </c>
      <c r="E709" s="31" t="s">
        <v>2</v>
      </c>
    </row>
    <row r="710" spans="1:5">
      <c r="A710" s="31" t="s">
        <v>1500</v>
      </c>
      <c r="B710" s="31" t="s">
        <v>1501</v>
      </c>
      <c r="C710" s="31" t="str">
        <f t="shared" si="11"/>
        <v>TINNIRELLO Livio</v>
      </c>
      <c r="D710" s="31" t="s">
        <v>242</v>
      </c>
      <c r="E710" s="31" t="s">
        <v>536</v>
      </c>
    </row>
    <row r="711" spans="1:5">
      <c r="A711" s="31" t="s">
        <v>1502</v>
      </c>
      <c r="B711" s="31" t="s">
        <v>557</v>
      </c>
      <c r="C711" s="31" t="str">
        <f t="shared" si="11"/>
        <v>TIOUASSIOUINE Amine</v>
      </c>
      <c r="D711" s="31" t="s">
        <v>242</v>
      </c>
      <c r="E711" s="31" t="s">
        <v>338</v>
      </c>
    </row>
    <row r="712" spans="1:5">
      <c r="A712" s="31" t="s">
        <v>1503</v>
      </c>
      <c r="B712" s="31" t="s">
        <v>1504</v>
      </c>
      <c r="C712" s="31" t="str">
        <f t="shared" si="11"/>
        <v>TOBIANSKY Keenan</v>
      </c>
      <c r="D712" s="31" t="s">
        <v>242</v>
      </c>
      <c r="E712" s="31" t="s">
        <v>371</v>
      </c>
    </row>
    <row r="713" spans="1:5">
      <c r="A713" s="31" t="s">
        <v>1505</v>
      </c>
      <c r="B713" s="31" t="s">
        <v>1506</v>
      </c>
      <c r="C713" s="31" t="str">
        <f t="shared" si="11"/>
        <v>TOUATI Yossef</v>
      </c>
      <c r="D713" s="31" t="s">
        <v>242</v>
      </c>
      <c r="E713" s="31" t="s">
        <v>406</v>
      </c>
    </row>
    <row r="714" spans="1:5">
      <c r="A714" s="31" t="s">
        <v>1507</v>
      </c>
      <c r="B714" s="31" t="s">
        <v>1508</v>
      </c>
      <c r="C714" s="31" t="str">
        <f t="shared" si="11"/>
        <v>TOURE Yacouba</v>
      </c>
      <c r="D714" s="31" t="s">
        <v>242</v>
      </c>
      <c r="E714" s="31" t="s">
        <v>432</v>
      </c>
    </row>
    <row r="715" spans="1:5">
      <c r="A715" s="31" t="s">
        <v>1507</v>
      </c>
      <c r="B715" s="31" t="s">
        <v>1509</v>
      </c>
      <c r="C715" s="31" t="str">
        <f t="shared" si="11"/>
        <v>TOURE Hadama</v>
      </c>
      <c r="D715" s="31" t="s">
        <v>242</v>
      </c>
      <c r="E715" s="31" t="s">
        <v>451</v>
      </c>
    </row>
    <row r="716" spans="1:5">
      <c r="A716" s="31" t="s">
        <v>1510</v>
      </c>
      <c r="B716" s="31" t="s">
        <v>422</v>
      </c>
      <c r="C716" s="31" t="str">
        <f t="shared" si="11"/>
        <v>TOURNEUR Hugo</v>
      </c>
      <c r="D716" s="31" t="s">
        <v>242</v>
      </c>
      <c r="E716" s="31" t="s">
        <v>332</v>
      </c>
    </row>
    <row r="717" spans="1:5">
      <c r="A717" s="31" t="s">
        <v>378</v>
      </c>
      <c r="B717" s="31" t="s">
        <v>379</v>
      </c>
      <c r="C717" s="31" t="str">
        <f t="shared" si="11"/>
        <v>TOURQUI Rym</v>
      </c>
      <c r="D717" s="31" t="s">
        <v>242</v>
      </c>
      <c r="E717" s="31" t="s">
        <v>247</v>
      </c>
    </row>
    <row r="718" spans="1:5">
      <c r="A718" s="31" t="s">
        <v>1511</v>
      </c>
      <c r="B718" s="31" t="s">
        <v>1512</v>
      </c>
      <c r="C718" s="31" t="str">
        <f t="shared" si="11"/>
        <v>TRABELSI Soulayma</v>
      </c>
      <c r="D718" s="31" t="s">
        <v>242</v>
      </c>
      <c r="E718" s="31" t="s">
        <v>250</v>
      </c>
    </row>
    <row r="719" spans="1:5">
      <c r="A719" s="31" t="s">
        <v>1511</v>
      </c>
      <c r="B719" s="31" t="s">
        <v>1513</v>
      </c>
      <c r="C719" s="31" t="str">
        <f t="shared" si="11"/>
        <v>TRABELSI Mohamed-Ali</v>
      </c>
      <c r="D719" s="31" t="s">
        <v>242</v>
      </c>
      <c r="E719" s="31" t="s">
        <v>360</v>
      </c>
    </row>
    <row r="720" spans="1:5">
      <c r="A720" s="31" t="s">
        <v>1514</v>
      </c>
      <c r="B720" s="31" t="s">
        <v>1515</v>
      </c>
      <c r="C720" s="31" t="str">
        <f t="shared" si="11"/>
        <v>TUEKAM TADIE Laetitia</v>
      </c>
      <c r="D720" s="31" t="s">
        <v>242</v>
      </c>
      <c r="E720" s="31" t="s">
        <v>250</v>
      </c>
    </row>
    <row r="721" spans="1:5">
      <c r="A721" s="31" t="s">
        <v>1516</v>
      </c>
      <c r="B721" s="31" t="s">
        <v>456</v>
      </c>
      <c r="C721" s="31" t="str">
        <f t="shared" si="11"/>
        <v>TURCK Adrien</v>
      </c>
      <c r="D721" s="31" t="s">
        <v>242</v>
      </c>
      <c r="E721" s="31" t="s">
        <v>289</v>
      </c>
    </row>
    <row r="722" spans="1:5">
      <c r="A722" s="31" t="s">
        <v>1517</v>
      </c>
      <c r="B722" s="31" t="s">
        <v>757</v>
      </c>
      <c r="C722" s="31" t="str">
        <f t="shared" si="11"/>
        <v>UNG Ludovic</v>
      </c>
      <c r="D722" s="31" t="s">
        <v>242</v>
      </c>
      <c r="E722" s="31" t="s">
        <v>451</v>
      </c>
    </row>
    <row r="723" spans="1:5">
      <c r="A723" s="31" t="s">
        <v>1518</v>
      </c>
      <c r="B723" s="31" t="s">
        <v>1210</v>
      </c>
      <c r="C723" s="31" t="str">
        <f t="shared" si="11"/>
        <v>UZAN Matthieu</v>
      </c>
      <c r="D723" s="31" t="s">
        <v>242</v>
      </c>
      <c r="E723" s="31" t="s">
        <v>354</v>
      </c>
    </row>
    <row r="724" spans="1:5">
      <c r="A724" s="31" t="s">
        <v>1519</v>
      </c>
      <c r="B724" s="31" t="s">
        <v>422</v>
      </c>
      <c r="C724" s="31" t="str">
        <f t="shared" si="11"/>
        <v>VAILLANT Hugo</v>
      </c>
      <c r="D724" s="31" t="s">
        <v>242</v>
      </c>
      <c r="E724" s="31" t="s">
        <v>536</v>
      </c>
    </row>
    <row r="725" spans="1:5">
      <c r="A725" s="31" t="s">
        <v>1520</v>
      </c>
      <c r="B725" s="31" t="s">
        <v>880</v>
      </c>
      <c r="C725" s="31" t="str">
        <f t="shared" si="11"/>
        <v>VALLET Jules</v>
      </c>
      <c r="D725" s="31" t="s">
        <v>242</v>
      </c>
      <c r="E725" s="31" t="s">
        <v>371</v>
      </c>
    </row>
    <row r="726" spans="1:5">
      <c r="A726" s="31" t="s">
        <v>1521</v>
      </c>
      <c r="B726" s="31" t="s">
        <v>458</v>
      </c>
      <c r="C726" s="31" t="str">
        <f t="shared" si="11"/>
        <v>VAN KERCKVOORDE Clément</v>
      </c>
      <c r="D726" s="31" t="s">
        <v>242</v>
      </c>
      <c r="E726" s="31" t="s">
        <v>354</v>
      </c>
    </row>
    <row r="727" spans="1:5">
      <c r="A727" s="31" t="s">
        <v>1522</v>
      </c>
      <c r="B727" s="31" t="s">
        <v>1523</v>
      </c>
      <c r="C727" s="31" t="str">
        <f t="shared" si="11"/>
        <v>VAROL Serhat</v>
      </c>
      <c r="D727" s="31" t="s">
        <v>242</v>
      </c>
      <c r="E727" s="31" t="s">
        <v>261</v>
      </c>
    </row>
    <row r="728" spans="1:5">
      <c r="A728" s="31" t="s">
        <v>1524</v>
      </c>
      <c r="B728" s="31" t="s">
        <v>1525</v>
      </c>
      <c r="C728" s="31" t="str">
        <f t="shared" si="11"/>
        <v>VASSORT Cyril</v>
      </c>
      <c r="D728" s="31" t="s">
        <v>242</v>
      </c>
      <c r="E728" s="31" t="s">
        <v>446</v>
      </c>
    </row>
    <row r="729" spans="1:5">
      <c r="A729" s="31" t="s">
        <v>1526</v>
      </c>
      <c r="B729" s="31" t="s">
        <v>1423</v>
      </c>
      <c r="C729" s="31" t="str">
        <f t="shared" si="11"/>
        <v>VAZIA Thibault</v>
      </c>
      <c r="D729" s="31" t="s">
        <v>242</v>
      </c>
      <c r="E729" s="31" t="s">
        <v>297</v>
      </c>
    </row>
    <row r="730" spans="1:5">
      <c r="A730" s="31" t="s">
        <v>1527</v>
      </c>
      <c r="B730" s="31" t="s">
        <v>1528</v>
      </c>
      <c r="C730" s="31" t="str">
        <f t="shared" si="11"/>
        <v>VAZILLE Corto</v>
      </c>
      <c r="D730" s="31" t="s">
        <v>242</v>
      </c>
      <c r="E730" s="31" t="s">
        <v>267</v>
      </c>
    </row>
    <row r="731" spans="1:5">
      <c r="A731" s="31" t="s">
        <v>1529</v>
      </c>
      <c r="B731" s="31" t="s">
        <v>745</v>
      </c>
      <c r="C731" s="31" t="str">
        <f t="shared" si="11"/>
        <v>VELITCH Killian</v>
      </c>
      <c r="D731" s="31" t="s">
        <v>242</v>
      </c>
      <c r="E731" s="31" t="s">
        <v>412</v>
      </c>
    </row>
    <row r="732" spans="1:5">
      <c r="A732" s="31" t="s">
        <v>1530</v>
      </c>
      <c r="B732" s="31" t="s">
        <v>1531</v>
      </c>
      <c r="C732" s="31" t="str">
        <f t="shared" si="11"/>
        <v>VIEILLEVILLE Mathéo</v>
      </c>
      <c r="D732" s="31" t="s">
        <v>242</v>
      </c>
      <c r="E732" s="31" t="s">
        <v>283</v>
      </c>
    </row>
    <row r="733" spans="1:5">
      <c r="A733" s="31" t="s">
        <v>1532</v>
      </c>
      <c r="B733" s="31" t="s">
        <v>1533</v>
      </c>
      <c r="C733" s="31" t="str">
        <f t="shared" si="11"/>
        <v>VIGLA Eric</v>
      </c>
      <c r="D733" s="31" t="s">
        <v>242</v>
      </c>
      <c r="E733" s="31" t="s">
        <v>536</v>
      </c>
    </row>
    <row r="734" spans="1:5">
      <c r="A734" s="31" t="s">
        <v>384</v>
      </c>
      <c r="B734" s="31" t="s">
        <v>385</v>
      </c>
      <c r="C734" s="31" t="str">
        <f t="shared" si="11"/>
        <v>VIGNARD Romain</v>
      </c>
      <c r="D734" s="31" t="s">
        <v>242</v>
      </c>
      <c r="E734" s="31" t="s">
        <v>247</v>
      </c>
    </row>
    <row r="735" spans="1:5">
      <c r="A735" s="31" t="s">
        <v>1534</v>
      </c>
      <c r="B735" s="31" t="s">
        <v>1535</v>
      </c>
      <c r="C735" s="31" t="str">
        <f t="shared" si="11"/>
        <v>VIGNOLET Ulysse</v>
      </c>
      <c r="D735" s="31" t="s">
        <v>242</v>
      </c>
      <c r="E735" s="31" t="s">
        <v>377</v>
      </c>
    </row>
    <row r="736" spans="1:5">
      <c r="A736" s="31" t="s">
        <v>1536</v>
      </c>
      <c r="B736" s="31" t="s">
        <v>1537</v>
      </c>
      <c r="C736" s="31" t="str">
        <f t="shared" si="11"/>
        <v>VINGADASSAMY Souria-Ranjinie</v>
      </c>
      <c r="D736" s="31" t="s">
        <v>242</v>
      </c>
      <c r="E736" s="31" t="s">
        <v>332</v>
      </c>
    </row>
    <row r="737" spans="1:5">
      <c r="A737" s="31" t="s">
        <v>1538</v>
      </c>
      <c r="B737" s="31" t="s">
        <v>422</v>
      </c>
      <c r="C737" s="31" t="str">
        <f t="shared" si="11"/>
        <v>VRIGNAUD Hugo</v>
      </c>
      <c r="D737" s="31" t="s">
        <v>242</v>
      </c>
      <c r="E737" s="31" t="s">
        <v>243</v>
      </c>
    </row>
    <row r="738" spans="1:5">
      <c r="A738" s="31" t="s">
        <v>1539</v>
      </c>
      <c r="B738" s="31" t="s">
        <v>570</v>
      </c>
      <c r="C738" s="31" t="str">
        <f t="shared" si="11"/>
        <v>WAEGENEIRE Charlotte</v>
      </c>
      <c r="D738" s="31" t="s">
        <v>242</v>
      </c>
      <c r="E738" s="31" t="s">
        <v>383</v>
      </c>
    </row>
    <row r="739" spans="1:5">
      <c r="A739" s="31" t="s">
        <v>1540</v>
      </c>
      <c r="B739" s="31" t="s">
        <v>817</v>
      </c>
      <c r="C739" s="31" t="str">
        <f t="shared" si="11"/>
        <v>WAGNER Arthur</v>
      </c>
      <c r="D739" s="31" t="s">
        <v>242</v>
      </c>
      <c r="E739" s="31" t="s">
        <v>389</v>
      </c>
    </row>
    <row r="740" spans="1:5">
      <c r="A740" s="31" t="s">
        <v>1541</v>
      </c>
      <c r="B740" s="31" t="s">
        <v>771</v>
      </c>
      <c r="C740" s="31" t="str">
        <f t="shared" si="11"/>
        <v>WANG Victor</v>
      </c>
      <c r="D740" s="31" t="s">
        <v>242</v>
      </c>
      <c r="E740" s="31" t="s">
        <v>267</v>
      </c>
    </row>
    <row r="741" spans="1:5">
      <c r="A741" s="31" t="s">
        <v>1542</v>
      </c>
      <c r="B741" s="31" t="s">
        <v>875</v>
      </c>
      <c r="C741" s="31" t="str">
        <f t="shared" si="11"/>
        <v>WAUTRIN William</v>
      </c>
      <c r="D741" s="31" t="s">
        <v>242</v>
      </c>
      <c r="E741" s="31" t="s">
        <v>536</v>
      </c>
    </row>
    <row r="742" spans="1:5">
      <c r="A742" s="31" t="s">
        <v>1543</v>
      </c>
      <c r="B742" s="31" t="s">
        <v>422</v>
      </c>
      <c r="C742" s="31" t="str">
        <f t="shared" si="11"/>
        <v>WEHRLE Hugo</v>
      </c>
      <c r="D742" s="31" t="s">
        <v>242</v>
      </c>
      <c r="E742" s="31" t="s">
        <v>371</v>
      </c>
    </row>
    <row r="743" spans="1:5">
      <c r="A743" s="31" t="s">
        <v>1544</v>
      </c>
      <c r="B743" s="31" t="s">
        <v>1545</v>
      </c>
      <c r="C743" s="31" t="str">
        <f t="shared" si="11"/>
        <v>WILSON Inessa</v>
      </c>
      <c r="D743" s="31" t="s">
        <v>242</v>
      </c>
      <c r="E743" s="31" t="s">
        <v>2</v>
      </c>
    </row>
    <row r="744" spans="1:5">
      <c r="A744" s="31" t="s">
        <v>1546</v>
      </c>
      <c r="B744" s="31" t="s">
        <v>1457</v>
      </c>
      <c r="C744" s="31" t="str">
        <f t="shared" si="11"/>
        <v>WULFMAN Yann</v>
      </c>
      <c r="D744" s="31" t="s">
        <v>242</v>
      </c>
      <c r="E744" s="31" t="s">
        <v>377</v>
      </c>
    </row>
    <row r="745" spans="1:5">
      <c r="A745" s="31" t="s">
        <v>1547</v>
      </c>
      <c r="B745" s="31" t="s">
        <v>481</v>
      </c>
      <c r="C745" s="31" t="str">
        <f t="shared" si="11"/>
        <v>YABI Ayoub</v>
      </c>
      <c r="D745" s="31" t="s">
        <v>242</v>
      </c>
      <c r="E745" s="31" t="s">
        <v>395</v>
      </c>
    </row>
    <row r="746" spans="1:5">
      <c r="A746" s="31" t="s">
        <v>1548</v>
      </c>
      <c r="B746" s="31" t="s">
        <v>343</v>
      </c>
      <c r="C746" s="31" t="str">
        <f t="shared" si="11"/>
        <v>YAGOUBI Nabil</v>
      </c>
      <c r="D746" s="31" t="s">
        <v>242</v>
      </c>
      <c r="E746" s="31" t="s">
        <v>308</v>
      </c>
    </row>
    <row r="747" spans="1:5">
      <c r="A747" s="31" t="s">
        <v>1549</v>
      </c>
      <c r="B747" s="31" t="s">
        <v>1550</v>
      </c>
      <c r="C747" s="31" t="str">
        <f t="shared" si="11"/>
        <v>YAHIA Ghayeth</v>
      </c>
      <c r="D747" s="31" t="s">
        <v>242</v>
      </c>
      <c r="E747" s="31" t="s">
        <v>250</v>
      </c>
    </row>
    <row r="748" spans="1:5">
      <c r="A748" s="31" t="s">
        <v>1551</v>
      </c>
      <c r="B748" s="31" t="s">
        <v>845</v>
      </c>
      <c r="C748" s="31" t="str">
        <f t="shared" si="11"/>
        <v>YAKEU CHAGHEN Grégoire</v>
      </c>
      <c r="D748" s="31" t="s">
        <v>242</v>
      </c>
      <c r="E748" s="31" t="s">
        <v>243</v>
      </c>
    </row>
    <row r="749" spans="1:5">
      <c r="A749" s="31" t="s">
        <v>1552</v>
      </c>
      <c r="B749" s="31" t="s">
        <v>1553</v>
      </c>
      <c r="C749" s="31" t="str">
        <f t="shared" si="11"/>
        <v>YAMINI Djamel</v>
      </c>
      <c r="D749" s="31" t="s">
        <v>242</v>
      </c>
      <c r="E749" s="31" t="s">
        <v>451</v>
      </c>
    </row>
    <row r="750" spans="1:5">
      <c r="A750" s="31" t="s">
        <v>1554</v>
      </c>
      <c r="B750" s="31" t="s">
        <v>1555</v>
      </c>
      <c r="C750" s="31" t="str">
        <f t="shared" si="11"/>
        <v>YANDA Olha</v>
      </c>
      <c r="D750" s="31" t="s">
        <v>242</v>
      </c>
      <c r="E750" s="31" t="s">
        <v>277</v>
      </c>
    </row>
    <row r="751" spans="1:5">
      <c r="A751" s="31" t="s">
        <v>1556</v>
      </c>
      <c r="B751" s="31" t="s">
        <v>1557</v>
      </c>
      <c r="C751" s="31" t="str">
        <f t="shared" si="11"/>
        <v>YASIN Arda</v>
      </c>
      <c r="D751" s="31" t="s">
        <v>242</v>
      </c>
      <c r="E751" s="31" t="s">
        <v>354</v>
      </c>
    </row>
    <row r="752" spans="1:5">
      <c r="A752" s="31" t="s">
        <v>1558</v>
      </c>
      <c r="B752" s="31" t="s">
        <v>1559</v>
      </c>
      <c r="C752" s="31" t="str">
        <f t="shared" si="11"/>
        <v>YE Stéphane</v>
      </c>
      <c r="D752" s="31" t="s">
        <v>242</v>
      </c>
      <c r="E752" s="31" t="s">
        <v>308</v>
      </c>
    </row>
    <row r="753" spans="1:5">
      <c r="A753" s="31" t="s">
        <v>1560</v>
      </c>
      <c r="B753" s="31" t="s">
        <v>1561</v>
      </c>
      <c r="C753" s="31" t="str">
        <f t="shared" si="11"/>
        <v>YENGO Sainthy Agapet</v>
      </c>
      <c r="D753" s="31" t="s">
        <v>242</v>
      </c>
      <c r="E753" s="31" t="s">
        <v>267</v>
      </c>
    </row>
    <row r="754" spans="1:5">
      <c r="A754" s="31" t="s">
        <v>1562</v>
      </c>
      <c r="B754" s="31" t="s">
        <v>852</v>
      </c>
      <c r="C754" s="31" t="str">
        <f t="shared" si="11"/>
        <v>YILDIZ Vincent</v>
      </c>
      <c r="D754" s="31" t="s">
        <v>242</v>
      </c>
      <c r="E754" s="31" t="s">
        <v>443</v>
      </c>
    </row>
    <row r="755" spans="1:5">
      <c r="A755" s="31" t="s">
        <v>1563</v>
      </c>
      <c r="B755" s="31" t="s">
        <v>1564</v>
      </c>
      <c r="C755" s="31" t="str">
        <f t="shared" si="11"/>
        <v>YONG Tec Wing</v>
      </c>
      <c r="D755" s="31" t="s">
        <v>242</v>
      </c>
      <c r="E755" s="31" t="s">
        <v>348</v>
      </c>
    </row>
    <row r="756" spans="1:5">
      <c r="A756" s="31" t="s">
        <v>1565</v>
      </c>
      <c r="B756" s="31" t="s">
        <v>657</v>
      </c>
      <c r="C756" s="31" t="str">
        <f t="shared" si="11"/>
        <v>ZEMALI Erwan</v>
      </c>
      <c r="D756" s="31" t="s">
        <v>242</v>
      </c>
      <c r="E756" s="31" t="s">
        <v>283</v>
      </c>
    </row>
    <row r="757" spans="1:5">
      <c r="A757" s="31" t="s">
        <v>1566</v>
      </c>
      <c r="B757" s="31" t="s">
        <v>870</v>
      </c>
      <c r="C757" s="31" t="str">
        <f t="shared" si="11"/>
        <v>ZENAGUI Karim</v>
      </c>
      <c r="D757" s="31" t="s">
        <v>242</v>
      </c>
      <c r="E757" s="31" t="s">
        <v>289</v>
      </c>
    </row>
    <row r="758" spans="1:5">
      <c r="A758" s="31" t="s">
        <v>390</v>
      </c>
      <c r="B758" s="31" t="s">
        <v>391</v>
      </c>
      <c r="C758" s="31" t="str">
        <f t="shared" si="11"/>
        <v>ZERFAOUI MEHDI</v>
      </c>
      <c r="D758" s="31" t="s">
        <v>242</v>
      </c>
      <c r="E758" s="31" t="s">
        <v>247</v>
      </c>
    </row>
    <row r="759" spans="1:5">
      <c r="A759" s="31" t="s">
        <v>1567</v>
      </c>
      <c r="B759" s="31" t="s">
        <v>807</v>
      </c>
      <c r="C759" s="31" t="str">
        <f t="shared" si="11"/>
        <v>ZHENG Paul</v>
      </c>
      <c r="D759" s="31" t="s">
        <v>242</v>
      </c>
      <c r="E759" s="31" t="s">
        <v>354</v>
      </c>
    </row>
    <row r="760" spans="1:5">
      <c r="A760" s="31" t="s">
        <v>1568</v>
      </c>
      <c r="B760" s="31" t="s">
        <v>1569</v>
      </c>
      <c r="C760" s="31" t="str">
        <f t="shared" si="11"/>
        <v>ZIANI Abdessamed</v>
      </c>
      <c r="D760" s="31" t="s">
        <v>242</v>
      </c>
      <c r="E760" s="31" t="s">
        <v>418</v>
      </c>
    </row>
    <row r="761" spans="1:5">
      <c r="A761" s="31" t="s">
        <v>1568</v>
      </c>
      <c r="B761" s="31" t="s">
        <v>403</v>
      </c>
      <c r="C761" s="31" t="str">
        <f t="shared" si="11"/>
        <v>ZIANI Bilal</v>
      </c>
      <c r="D761" s="31" t="s">
        <v>242</v>
      </c>
      <c r="E761" s="31" t="s">
        <v>348</v>
      </c>
    </row>
    <row r="762" spans="1:5">
      <c r="A762" s="31" t="s">
        <v>1570</v>
      </c>
      <c r="B762" s="31" t="s">
        <v>1571</v>
      </c>
      <c r="C762" s="31" t="str">
        <f t="shared" si="11"/>
        <v>ZIDELMAL Hamid</v>
      </c>
      <c r="D762" s="31" t="s">
        <v>242</v>
      </c>
      <c r="E762" s="31" t="s">
        <v>383</v>
      </c>
    </row>
    <row r="763" spans="1:5">
      <c r="A763" s="31" t="s">
        <v>1572</v>
      </c>
      <c r="B763" s="31" t="s">
        <v>422</v>
      </c>
      <c r="C763" s="31" t="str">
        <f t="shared" si="11"/>
        <v>ZINS Hugo</v>
      </c>
      <c r="D763" s="31" t="s">
        <v>242</v>
      </c>
      <c r="E763" s="31" t="s">
        <v>338</v>
      </c>
    </row>
    <row r="764" spans="1:5">
      <c r="A764" s="31" t="s">
        <v>1573</v>
      </c>
      <c r="B764" s="31" t="s">
        <v>973</v>
      </c>
      <c r="C764" s="31" t="str">
        <f t="shared" si="11"/>
        <v>ZINUTTI Mattéo</v>
      </c>
      <c r="D764" s="31" t="s">
        <v>242</v>
      </c>
      <c r="E764" s="31" t="s">
        <v>2</v>
      </c>
    </row>
    <row r="765" spans="1:5">
      <c r="A765" s="31" t="s">
        <v>1574</v>
      </c>
      <c r="B765" s="31" t="s">
        <v>1575</v>
      </c>
      <c r="C765" s="31" t="str">
        <f t="shared" si="11"/>
        <v>ZUKOWSKI Richard</v>
      </c>
      <c r="D765" s="31" t="s">
        <v>242</v>
      </c>
      <c r="E765" s="31" t="s">
        <v>332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82BF5-5858-E348-AC99-511698B142C7}">
  <sheetPr codeName="Feuil6"/>
  <dimension ref="A1:E32"/>
  <sheetViews>
    <sheetView workbookViewId="0"/>
  </sheetViews>
  <sheetFormatPr baseColWidth="10" defaultColWidth="11" defaultRowHeight="15.6"/>
  <cols>
    <col min="1" max="1" width="21" bestFit="1" customWidth="1"/>
  </cols>
  <sheetData>
    <row r="1" spans="1:5">
      <c r="A1" t="str" cm="1">
        <f t="array" ref="A1:A32">_xlfn._xlws.SORT(_xlfn.UNIQUE('LISTE ETUDIANT'!E2:E685))</f>
        <v>CPI 3-25 DEV A ISI PARIS</v>
      </c>
      <c r="E1">
        <v>0</v>
      </c>
    </row>
    <row r="2" spans="1:5">
      <c r="A2" t="str">
        <v>CPI 3-25 DEV B ISI PARIS</v>
      </c>
    </row>
    <row r="3" spans="1:5">
      <c r="A3" t="str">
        <v>CPI 3-25 SR A ISI PARIS</v>
      </c>
    </row>
    <row r="4" spans="1:5">
      <c r="A4" t="str">
        <v>CPI 3-25 SR B ISI PARIS</v>
      </c>
    </row>
    <row r="5" spans="1:5">
      <c r="A5" t="str">
        <v>CPI-1-27 A ISI PARIS</v>
      </c>
    </row>
    <row r="6" spans="1:5">
      <c r="A6" t="str">
        <v>CPI-1-27 B ISI PARIS</v>
      </c>
    </row>
    <row r="7" spans="1:5">
      <c r="A7" t="str">
        <v>CPI-2-26 A ISI PARIS</v>
      </c>
    </row>
    <row r="8" spans="1:5">
      <c r="A8" t="str">
        <v>CPI-2-26 B ISI PARIS</v>
      </c>
    </row>
    <row r="9" spans="1:5">
      <c r="A9" t="str">
        <v>CPI-2-26 C ISI PARIS</v>
      </c>
    </row>
    <row r="10" spans="1:5">
      <c r="A10" t="str">
        <v>CPI-3-25 SR C ISI PARIS</v>
      </c>
    </row>
    <row r="11" spans="1:5">
      <c r="A11" t="str">
        <v>CPI-3-25 SR D ISI PARIS</v>
      </c>
    </row>
    <row r="12" spans="1:5">
      <c r="A12" t="str">
        <v>MSI 4-26 BD ISI PARIS</v>
      </c>
    </row>
    <row r="13" spans="1:5">
      <c r="A13" t="str">
        <v>MSI 4-26 CS A ISI PARIS</v>
      </c>
    </row>
    <row r="14" spans="1:5">
      <c r="A14" t="str">
        <v>MSI 4-26 CS B ISI PARIS</v>
      </c>
    </row>
    <row r="15" spans="1:5">
      <c r="A15" t="str">
        <v>MSI 4-26 CS C ISI PARIS</v>
      </c>
    </row>
    <row r="16" spans="1:5">
      <c r="A16" t="str">
        <v>MSI 4-26 DEV ISI PARIS</v>
      </c>
    </row>
    <row r="17" spans="1:1">
      <c r="A17" t="str">
        <v>MSI 4-26 DO A ISI PARIS</v>
      </c>
    </row>
    <row r="18" spans="1:1">
      <c r="A18" t="str">
        <v>MSI 4-26 DO B ISI PARIS</v>
      </c>
    </row>
    <row r="19" spans="1:1">
      <c r="A19" t="str">
        <v>MSI 4-26 DO C ISI PARIS</v>
      </c>
    </row>
    <row r="20" spans="1:1">
      <c r="A20" t="str">
        <v>MSI 4-26 PO ISI PARIS</v>
      </c>
    </row>
    <row r="21" spans="1:1">
      <c r="A21" t="str">
        <v>MSI 5-25 CS A ISI PARIS</v>
      </c>
    </row>
    <row r="22" spans="1:1">
      <c r="A22" t="str">
        <v>MSI 5-25 CS B ISI PARIS</v>
      </c>
    </row>
    <row r="23" spans="1:1">
      <c r="A23" t="str">
        <v>MSI 5-25 CS C ISI PARIS</v>
      </c>
    </row>
    <row r="24" spans="1:1">
      <c r="A24" t="str">
        <v>MSI 5-25 CS D ISI PARIS</v>
      </c>
    </row>
    <row r="25" spans="1:1">
      <c r="A25" t="str">
        <v>MSI 5-25 CS E ISI PARIS</v>
      </c>
    </row>
    <row r="26" spans="1:1">
      <c r="A26" t="str">
        <v>MSI 5-25 DA ISI PARIS</v>
      </c>
    </row>
    <row r="27" spans="1:1">
      <c r="A27" t="str">
        <v>MSI 5-25 DEV A ISI PARIS</v>
      </c>
    </row>
    <row r="28" spans="1:1">
      <c r="A28" t="str">
        <v>MSI 5-25 DEV B ISI PARIS</v>
      </c>
    </row>
    <row r="29" spans="1:1">
      <c r="A29" t="str">
        <v>MSI 5-25 DEV C ISI PARIS</v>
      </c>
    </row>
    <row r="30" spans="1:1">
      <c r="A30" t="str">
        <v>MSI 5-25 DO A ISI PARIS</v>
      </c>
    </row>
    <row r="31" spans="1:1">
      <c r="A31" t="str">
        <v>MSI 5-25 DO B ISI PARIS</v>
      </c>
    </row>
    <row r="32" spans="1:1">
      <c r="A32" t="str">
        <v>MSI 5-25 PO ISI PARIS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1519793E9CB447BB85AB8ED6A041B1" ma:contentTypeVersion="0" ma:contentTypeDescription="Crée un document." ma:contentTypeScope="" ma:versionID="96e4134a1d07008d36c17abd15bc3d40">
  <xsd:schema xmlns:xsd="http://www.w3.org/2001/XMLSchema" xmlns:xs="http://www.w3.org/2001/XMLSchema" xmlns:p="http://schemas.microsoft.com/office/2006/metadata/properties" targetNamespace="http://schemas.microsoft.com/office/2006/metadata/properties" ma:root="true" ma:fieldsID="9b3613ba4871b6d4221e6a6d8c4f7bd5">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A16058F-3BA2-4905-9C28-4C66E1DE22B0}"/>
</file>

<file path=customXml/itemProps2.xml><?xml version="1.0" encoding="utf-8"?>
<ds:datastoreItem xmlns:ds="http://schemas.openxmlformats.org/officeDocument/2006/customXml" ds:itemID="{369BDD94-41B6-4531-A476-803BFBD3A0E6}">
  <ds:schemaRefs>
    <ds:schemaRef ds:uri="http://schemas.microsoft.com/office/2006/metadata/properties"/>
    <ds:schemaRef ds:uri="http://schemas.microsoft.com/office/infopath/2007/PartnerControls"/>
    <ds:schemaRef ds:uri="00122500-76ae-4455-b27a-03b5f29efd2f"/>
    <ds:schemaRef ds:uri="ad308b5e-755f-45a1-b356-76ebf7d6d4a7"/>
  </ds:schemaRefs>
</ds:datastoreItem>
</file>

<file path=customXml/itemProps3.xml><?xml version="1.0" encoding="utf-8"?>
<ds:datastoreItem xmlns:ds="http://schemas.openxmlformats.org/officeDocument/2006/customXml" ds:itemID="{E4AE6C7C-6E32-4C01-90F6-C9251451CB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15</vt:i4>
      </vt:variant>
    </vt:vector>
  </HeadingPairs>
  <TitlesOfParts>
    <vt:vector size="15" baseType="lpstr">
      <vt:lpstr>Guide</vt:lpstr>
      <vt:lpstr>MODE D'EMPLOI</vt:lpstr>
      <vt:lpstr>DATA &amp; RECAP</vt:lpstr>
      <vt:lpstr>DOSSIER M1 GRP 1</vt:lpstr>
      <vt:lpstr>VIDEO M1 GRP 1</vt:lpstr>
      <vt:lpstr>DOSSIER M2 GRP 1</vt:lpstr>
      <vt:lpstr>VIDEO M2 GRP1</vt:lpstr>
      <vt:lpstr>DOSSIER TECHNIQUE M1</vt:lpstr>
      <vt:lpstr>DOSSIER TECHNIQUE M2</vt:lpstr>
      <vt:lpstr>VIDEO M1 &amp; M2</vt:lpstr>
      <vt:lpstr>Blocs et Competences</vt:lpstr>
      <vt:lpstr>Pts évalués par blocs</vt:lpstr>
      <vt:lpstr>Pour rappel - 2425</vt:lpstr>
      <vt:lpstr>LISTE ETUDIANT</vt:lpstr>
      <vt:lpstr>CLASSE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Laurent BIAGIOTTI</dc:creator>
  <cp:keywords/>
  <dc:description/>
  <cp:lastModifiedBy>Jérôme METRAL</cp:lastModifiedBy>
  <cp:revision/>
  <dcterms:created xsi:type="dcterms:W3CDTF">2024-11-07T13:04:30Z</dcterms:created>
  <dcterms:modified xsi:type="dcterms:W3CDTF">2025-10-16T09:57:42Z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0x010100461519793E9CB447BB85AB8ED6A041B1</vt:lpwstr>
  </property>
  <property fmtid="{D5CDD505-2E9C-101B-9397-08002B2CF9AE}" pid="3" name="MediaServiceImageTags">
    <vt:lpwstr/>
  </property>
  <property fmtid="{D5CDD505-2E9C-101B-9397-08002B2CF9AE}" pid="4" name="Order">
    <vt:r8>102700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